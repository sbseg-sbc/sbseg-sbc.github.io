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5600" windowHeight="16060" tabRatio="500" activeTab="2"/>
  </bookViews>
  <sheets>
    <sheet name="Simples" sheetId="2" r:id="rId1"/>
    <sheet name="Completa" sheetId="1" r:id="rId2"/>
    <sheet name="Receitas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9" i="1" l="1"/>
  <c r="M9" i="1"/>
  <c r="L18" i="1"/>
  <c r="M18" i="1"/>
  <c r="L29" i="1"/>
  <c r="M29" i="1"/>
  <c r="L41" i="1"/>
  <c r="M41" i="1"/>
  <c r="L49" i="1"/>
  <c r="M49" i="1"/>
  <c r="L56" i="1"/>
  <c r="M56" i="1"/>
  <c r="L58" i="1"/>
  <c r="M58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C8" i="3"/>
  <c r="F8" i="1"/>
  <c r="F7" i="1"/>
  <c r="F6" i="1"/>
  <c r="F5" i="1"/>
  <c r="F4" i="1"/>
  <c r="E8" i="1"/>
  <c r="E7" i="1"/>
  <c r="E6" i="1"/>
  <c r="E5" i="1"/>
  <c r="E4" i="1"/>
  <c r="D8" i="1"/>
  <c r="D7" i="1"/>
  <c r="D6" i="1"/>
  <c r="D5" i="1"/>
  <c r="D4" i="1"/>
  <c r="H56" i="1"/>
  <c r="H68" i="1"/>
  <c r="J56" i="1"/>
  <c r="J68" i="1"/>
  <c r="N56" i="1"/>
  <c r="N68" i="1"/>
  <c r="P68" i="1"/>
  <c r="H49" i="1"/>
  <c r="H67" i="1"/>
  <c r="J49" i="1"/>
  <c r="J67" i="1"/>
  <c r="N49" i="1"/>
  <c r="N67" i="1"/>
  <c r="P67" i="1"/>
  <c r="G33" i="1"/>
  <c r="N33" i="1"/>
  <c r="G36" i="1"/>
  <c r="N36" i="1"/>
  <c r="G38" i="1"/>
  <c r="N38" i="1"/>
  <c r="G39" i="1"/>
  <c r="N39" i="1"/>
  <c r="N41" i="1"/>
  <c r="N66" i="1"/>
  <c r="H41" i="1"/>
  <c r="H66" i="1"/>
  <c r="J41" i="1"/>
  <c r="J66" i="1"/>
  <c r="P66" i="1"/>
  <c r="G25" i="1"/>
  <c r="N25" i="1"/>
  <c r="G22" i="1"/>
  <c r="N22" i="1"/>
  <c r="N29" i="1"/>
  <c r="N65" i="1"/>
  <c r="H29" i="1"/>
  <c r="H65" i="1"/>
  <c r="J29" i="1"/>
  <c r="J65" i="1"/>
  <c r="P65" i="1"/>
  <c r="H64" i="1"/>
  <c r="J64" i="1"/>
  <c r="N64" i="1"/>
  <c r="P64" i="1"/>
  <c r="G4" i="1"/>
  <c r="G6" i="1"/>
  <c r="N6" i="1"/>
  <c r="G8" i="1"/>
  <c r="N8" i="1"/>
  <c r="N9" i="1"/>
  <c r="N63" i="1"/>
  <c r="H9" i="1"/>
  <c r="H63" i="1"/>
  <c r="J9" i="1"/>
  <c r="J63" i="1"/>
  <c r="P63" i="1"/>
  <c r="P55" i="1"/>
  <c r="P53" i="1"/>
  <c r="P69" i="1"/>
  <c r="Q68" i="1"/>
  <c r="I9" i="1"/>
  <c r="I63" i="1"/>
  <c r="K9" i="1"/>
  <c r="K63" i="1"/>
  <c r="O9" i="1"/>
  <c r="O63" i="1"/>
  <c r="Q63" i="1"/>
  <c r="I64" i="1"/>
  <c r="K64" i="1"/>
  <c r="O64" i="1"/>
  <c r="Q64" i="1"/>
  <c r="I29" i="1"/>
  <c r="I65" i="1"/>
  <c r="K29" i="1"/>
  <c r="K65" i="1"/>
  <c r="O29" i="1"/>
  <c r="O65" i="1"/>
  <c r="Q65" i="1"/>
  <c r="I41" i="1"/>
  <c r="I66" i="1"/>
  <c r="K41" i="1"/>
  <c r="K66" i="1"/>
  <c r="O41" i="1"/>
  <c r="O66" i="1"/>
  <c r="Q66" i="1"/>
  <c r="I49" i="1"/>
  <c r="I67" i="1"/>
  <c r="K49" i="1"/>
  <c r="K67" i="1"/>
  <c r="O49" i="1"/>
  <c r="O67" i="1"/>
  <c r="Q67" i="1"/>
  <c r="Q69" i="1"/>
  <c r="P22" i="1"/>
  <c r="P23" i="1"/>
  <c r="P24" i="1"/>
  <c r="P25" i="1"/>
  <c r="P26" i="1"/>
  <c r="P27" i="1"/>
  <c r="P28" i="1"/>
  <c r="P29" i="1"/>
  <c r="Q22" i="1"/>
  <c r="Q23" i="1"/>
  <c r="Q24" i="1"/>
  <c r="Q25" i="1"/>
  <c r="Q26" i="1"/>
  <c r="Q27" i="1"/>
  <c r="Q28" i="1"/>
  <c r="Q29" i="1"/>
  <c r="Q33" i="1"/>
  <c r="Q34" i="1"/>
  <c r="Q35" i="1"/>
  <c r="Q36" i="1"/>
  <c r="Q37" i="1"/>
  <c r="Q38" i="1"/>
  <c r="Q39" i="1"/>
  <c r="Q40" i="1"/>
  <c r="Q41" i="1"/>
  <c r="P33" i="1"/>
  <c r="P34" i="1"/>
  <c r="P35" i="1"/>
  <c r="P36" i="1"/>
  <c r="P37" i="1"/>
  <c r="P38" i="1"/>
  <c r="P39" i="1"/>
  <c r="P40" i="1"/>
  <c r="P41" i="1"/>
  <c r="I18" i="1"/>
  <c r="I56" i="1"/>
  <c r="I58" i="1"/>
  <c r="K18" i="1"/>
  <c r="K56" i="1"/>
  <c r="K58" i="1"/>
  <c r="O18" i="1"/>
  <c r="O56" i="1"/>
  <c r="O58" i="1"/>
  <c r="Q58" i="1"/>
  <c r="G13" i="1"/>
  <c r="N13" i="1"/>
  <c r="G15" i="1"/>
  <c r="N15" i="1"/>
  <c r="G17" i="1"/>
  <c r="N17" i="1"/>
  <c r="N18" i="1"/>
  <c r="N58" i="1"/>
  <c r="H18" i="1"/>
  <c r="H58" i="1"/>
  <c r="J18" i="1"/>
  <c r="J58" i="1"/>
  <c r="P58" i="1"/>
  <c r="Q55" i="1"/>
  <c r="Q53" i="1"/>
  <c r="Q48" i="1"/>
  <c r="Q47" i="1"/>
  <c r="Q46" i="1"/>
  <c r="Q45" i="1"/>
  <c r="P48" i="1"/>
  <c r="P47" i="1"/>
  <c r="P46" i="1"/>
  <c r="P45" i="1"/>
  <c r="Q17" i="1"/>
  <c r="Q16" i="1"/>
  <c r="Q15" i="1"/>
  <c r="Q14" i="1"/>
  <c r="Q13" i="1"/>
  <c r="P17" i="1"/>
  <c r="P16" i="1"/>
  <c r="P15" i="1"/>
  <c r="P14" i="1"/>
  <c r="P13" i="1"/>
  <c r="P8" i="1"/>
  <c r="P7" i="1"/>
  <c r="P6" i="1"/>
  <c r="P5" i="1"/>
  <c r="Q8" i="1"/>
  <c r="Q7" i="1"/>
  <c r="Q6" i="1"/>
  <c r="Q5" i="1"/>
  <c r="Q4" i="1"/>
  <c r="P4" i="1"/>
  <c r="P9" i="1"/>
  <c r="P18" i="1"/>
  <c r="P49" i="1"/>
  <c r="P56" i="1"/>
  <c r="I68" i="1"/>
  <c r="K68" i="1"/>
  <c r="O68" i="1"/>
  <c r="I69" i="1"/>
  <c r="K69" i="1"/>
  <c r="O69" i="1"/>
  <c r="J69" i="1"/>
  <c r="N69" i="1"/>
  <c r="Q56" i="1"/>
  <c r="Q49" i="1"/>
  <c r="Q18" i="1"/>
  <c r="Q9" i="1"/>
  <c r="G4" i="2"/>
  <c r="G5" i="2"/>
  <c r="G6" i="2"/>
  <c r="G7" i="2"/>
  <c r="G8" i="2"/>
  <c r="G9" i="2"/>
  <c r="G13" i="2"/>
  <c r="G14" i="2"/>
  <c r="G15" i="2"/>
  <c r="G16" i="2"/>
  <c r="G17" i="2"/>
  <c r="G18" i="2"/>
  <c r="G22" i="2"/>
  <c r="G23" i="2"/>
  <c r="G24" i="2"/>
  <c r="G25" i="2"/>
  <c r="G26" i="2"/>
  <c r="G27" i="2"/>
  <c r="G28" i="2"/>
  <c r="G29" i="2"/>
  <c r="G33" i="2"/>
  <c r="G34" i="2"/>
  <c r="G35" i="2"/>
  <c r="G36" i="2"/>
  <c r="G37" i="2"/>
  <c r="G38" i="2"/>
  <c r="G39" i="2"/>
  <c r="G41" i="2"/>
  <c r="G45" i="2"/>
  <c r="G46" i="2"/>
  <c r="G48" i="2"/>
  <c r="G49" i="2"/>
  <c r="G53" i="2"/>
  <c r="G54" i="2"/>
  <c r="G55" i="2"/>
  <c r="G57" i="2"/>
  <c r="G61" i="2"/>
  <c r="G62" i="2"/>
  <c r="G63" i="2"/>
  <c r="G64" i="2"/>
  <c r="G65" i="2"/>
  <c r="G66" i="2"/>
  <c r="G67" i="2"/>
  <c r="G26" i="1"/>
  <c r="G5" i="1"/>
  <c r="G7" i="1"/>
  <c r="G9" i="1"/>
  <c r="H69" i="1"/>
  <c r="G63" i="1"/>
  <c r="G14" i="1"/>
  <c r="G16" i="1"/>
  <c r="G18" i="1"/>
  <c r="G64" i="1"/>
  <c r="G23" i="1"/>
  <c r="G24" i="1"/>
  <c r="G27" i="1"/>
  <c r="G28" i="1"/>
  <c r="G29" i="1"/>
  <c r="G65" i="1"/>
  <c r="G34" i="1"/>
  <c r="G35" i="1"/>
  <c r="G37" i="1"/>
  <c r="G41" i="1"/>
  <c r="G66" i="1"/>
  <c r="G45" i="1"/>
  <c r="G46" i="1"/>
  <c r="G48" i="1"/>
  <c r="G49" i="1"/>
  <c r="G67" i="1"/>
  <c r="G53" i="1"/>
  <c r="G55" i="1"/>
  <c r="G56" i="1"/>
  <c r="G68" i="1"/>
  <c r="G69" i="1"/>
  <c r="G58" i="1"/>
</calcChain>
</file>

<file path=xl/sharedStrings.xml><?xml version="1.0" encoding="utf-8"?>
<sst xmlns="http://schemas.openxmlformats.org/spreadsheetml/2006/main" count="274" uniqueCount="61">
  <si>
    <t>Passagens para palestrantes e/ou conferencistas</t>
  </si>
  <si>
    <t>Item</t>
  </si>
  <si>
    <t>Unid.</t>
  </si>
  <si>
    <t>Quant.</t>
  </si>
  <si>
    <t>vl. Unit.</t>
  </si>
  <si>
    <t>Total</t>
  </si>
  <si>
    <t>FAPEAM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</si>
  <si>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</si>
  <si>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</si>
  <si>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</si>
  <si>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</si>
  <si>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</si>
  <si>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</si>
  <si>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</si>
  <si>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</si>
  <si>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</si>
  <si>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</si>
  <si>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</si>
  <si>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</si>
  <si>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</si>
  <si>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</si>
  <si>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</si>
  <si>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</si>
  <si>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</si>
  <si>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</si>
  <si>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</si>
  <si>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</si>
  <si>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</si>
  <si>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</si>
  <si>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</si>
  <si>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</si>
  <si>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</si>
  <si>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</si>
  <si>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</si>
  <si>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</si>
  <si>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</si>
  <si>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</si>
  <si>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</si>
  <si>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Coffee-Break/Coquetel</t>
  </si>
  <si>
    <t>Coffe Break</t>
    <phoneticPr fontId="0" type="noConversion"/>
  </si>
  <si>
    <t>Coquetel de Abertura</t>
    <phoneticPr fontId="0" type="noConversion"/>
  </si>
  <si>
    <t xml:space="preserve">Total Geral </t>
  </si>
  <si>
    <t>Serviços de Terceiro</t>
  </si>
  <si>
    <t>Total Geral</t>
  </si>
  <si>
    <t>CNPq</t>
  </si>
  <si>
    <t>CAPES</t>
  </si>
  <si>
    <t>CGI-BR</t>
  </si>
  <si>
    <t>Outros Serviços de Terceiros (1)</t>
  </si>
  <si>
    <t>Outros Serviços de Terceiros (2)</t>
  </si>
  <si>
    <t>Solicitado</t>
  </si>
  <si>
    <t>Atendido</t>
  </si>
  <si>
    <t>Total Estimado</t>
  </si>
  <si>
    <t>Total Atendido</t>
  </si>
  <si>
    <t>Total Solicitado</t>
  </si>
  <si>
    <t>Jantar de Confraternização</t>
  </si>
  <si>
    <t>Valores</t>
  </si>
  <si>
    <t>Comitê Gestor Internet</t>
  </si>
  <si>
    <t xml:space="preserve">Inscrições </t>
  </si>
  <si>
    <t>FAPEAM (Fundação de Amparo a Pesquisa do Estado do Amazonas)</t>
  </si>
  <si>
    <t>Patrocínios</t>
  </si>
  <si>
    <t>Receitas SBSeg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</si>
</sst>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19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3"/>
      <color rgb="FF006666"/>
      <name val="Cambria"/>
      <scheme val="major"/>
    </font>
    <font>
      <b/>
      <sz val="18"/>
      <color theme="0"/>
      <name val="Cambria"/>
      <family val="1"/>
      <scheme val="maj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8">
    <xf numFmtId="0" fontId="0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1" applyFont="1"/>
    <xf numFmtId="0" fontId="3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2" fontId="7" fillId="0" borderId="1" xfId="1" applyNumberFormat="1" applyFont="1" applyBorder="1"/>
    <xf numFmtId="2" fontId="8" fillId="0" borderId="1" xfId="0" applyNumberFormat="1" applyFont="1" applyBorder="1" applyAlignment="1">
      <alignment horizontal="right"/>
    </xf>
    <xf numFmtId="2" fontId="4" fillId="2" borderId="1" xfId="0" applyNumberFormat="1" applyFont="1" applyFill="1" applyBorder="1"/>
    <xf numFmtId="0" fontId="7" fillId="0" borderId="1" xfId="1" applyFont="1" applyBorder="1"/>
    <xf numFmtId="0" fontId="10" fillId="2" borderId="1" xfId="0" applyFont="1" applyFill="1" applyBorder="1"/>
    <xf numFmtId="2" fontId="10" fillId="2" borderId="1" xfId="0" applyNumberFormat="1" applyFont="1" applyFill="1" applyBorder="1"/>
    <xf numFmtId="2" fontId="8" fillId="0" borderId="1" xfId="0" applyNumberFormat="1" applyFont="1" applyBorder="1"/>
    <xf numFmtId="0" fontId="4" fillId="2" borderId="1" xfId="1" applyFont="1" applyFill="1" applyBorder="1"/>
    <xf numFmtId="2" fontId="4" fillId="2" borderId="1" xfId="1" applyNumberFormat="1" applyFont="1" applyFill="1" applyBorder="1"/>
    <xf numFmtId="0" fontId="7" fillId="0" borderId="0" xfId="1" applyFont="1"/>
    <xf numFmtId="2" fontId="7" fillId="0" borderId="0" xfId="1" applyNumberFormat="1" applyFont="1"/>
    <xf numFmtId="2" fontId="11" fillId="0" borderId="0" xfId="0" applyNumberFormat="1" applyFont="1"/>
    <xf numFmtId="0" fontId="4" fillId="2" borderId="0" xfId="1" applyFont="1" applyFill="1"/>
    <xf numFmtId="2" fontId="4" fillId="2" borderId="0" xfId="1" applyNumberFormat="1" applyFont="1" applyFill="1"/>
    <xf numFmtId="0" fontId="2" fillId="0" borderId="0" xfId="1" applyFont="1" applyFill="1"/>
    <xf numFmtId="2" fontId="2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0" xfId="0" applyFont="1"/>
    <xf numFmtId="2" fontId="13" fillId="2" borderId="1" xfId="0" applyNumberFormat="1" applyFont="1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2" fontId="16" fillId="0" borderId="1" xfId="0" applyNumberFormat="1" applyFont="1" applyBorder="1"/>
    <xf numFmtId="164" fontId="17" fillId="2" borderId="1" xfId="1" applyNumberFormat="1" applyFont="1" applyFill="1" applyBorder="1"/>
    <xf numFmtId="164" fontId="18" fillId="0" borderId="0" xfId="0" applyNumberFormat="1" applyFont="1"/>
    <xf numFmtId="0" fontId="4" fillId="2" borderId="8" xfId="0" applyFont="1" applyFill="1" applyBorder="1" applyAlignment="1">
      <alignment horizontal="center" vertical="center" wrapText="1"/>
    </xf>
    <xf numFmtId="164" fontId="7" fillId="0" borderId="1" xfId="1" applyNumberFormat="1" applyFont="1" applyBorder="1"/>
    <xf numFmtId="164" fontId="4" fillId="2" borderId="1" xfId="0" applyNumberFormat="1" applyFont="1" applyFill="1" applyBorder="1"/>
    <xf numFmtId="0" fontId="2" fillId="0" borderId="1" xfId="1" applyFont="1" applyBorder="1" applyAlignment="1">
      <alignment horizontal="left"/>
    </xf>
    <xf numFmtId="2" fontId="4" fillId="2" borderId="2" xfId="1" applyNumberFormat="1" applyFont="1" applyFill="1" applyBorder="1" applyAlignment="1">
      <alignment horizontal="left"/>
    </xf>
    <xf numFmtId="2" fontId="4" fillId="2" borderId="4" xfId="1" applyNumberFormat="1" applyFont="1" applyFill="1" applyBorder="1" applyAlignment="1">
      <alignment horizontal="left"/>
    </xf>
    <xf numFmtId="2" fontId="4" fillId="2" borderId="3" xfId="1" applyNumberFormat="1" applyFont="1" applyFill="1" applyBorder="1" applyAlignment="1">
      <alignment horizontal="left"/>
    </xf>
    <xf numFmtId="164" fontId="17" fillId="2" borderId="2" xfId="1" applyNumberFormat="1" applyFont="1" applyFill="1" applyBorder="1" applyAlignment="1">
      <alignment horizontal="left"/>
    </xf>
    <xf numFmtId="164" fontId="17" fillId="2" borderId="4" xfId="1" applyNumberFormat="1" applyFont="1" applyFill="1" applyBorder="1" applyAlignment="1">
      <alignment horizontal="left"/>
    </xf>
    <xf numFmtId="164" fontId="17" fillId="2" borderId="3" xfId="1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4" fillId="2" borderId="0" xfId="1" applyFont="1" applyFill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2" fontId="16" fillId="4" borderId="1" xfId="0" applyNumberFormat="1" applyFont="1" applyFill="1" applyBorder="1"/>
    <xf numFmtId="2" fontId="16" fillId="4" borderId="1" xfId="0" applyNumberFormat="1" applyFont="1" applyFill="1" applyBorder="1" applyAlignment="1">
      <alignment horizontal="right"/>
    </xf>
    <xf numFmtId="2" fontId="8" fillId="4" borderId="1" xfId="0" applyNumberFormat="1" applyFont="1" applyFill="1" applyBorder="1"/>
    <xf numFmtId="2" fontId="8" fillId="4" borderId="1" xfId="0" applyNumberFormat="1" applyFont="1" applyFill="1" applyBorder="1" applyAlignment="1">
      <alignment horizontal="right"/>
    </xf>
  </cellXfs>
  <cellStyles count="14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7"/>
  <sheetViews>
    <sheetView topLeftCell="B57" workbookViewId="0">
      <selection activeCell="B2" sqref="B2:G9"/>
    </sheetView>
  </sheetViews>
  <sheetFormatPr baseColWidth="10" defaultColWidth="8.83203125" defaultRowHeight="15" x14ac:dyDescent="0"/>
  <cols>
    <col min="1" max="1" width="10.6640625" hidden="1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22.6640625" customWidth="1"/>
  </cols>
  <sheetData>
    <row r="2" spans="2:7" ht="16" customHeight="1">
      <c r="B2" s="56" t="s">
        <v>0</v>
      </c>
      <c r="C2" s="56"/>
      <c r="D2" s="53" t="s">
        <v>2</v>
      </c>
      <c r="E2" s="53" t="s">
        <v>3</v>
      </c>
      <c r="F2" s="53" t="s">
        <v>4</v>
      </c>
      <c r="G2" s="54" t="s">
        <v>51</v>
      </c>
    </row>
    <row r="3" spans="2:7" s="7" customFormat="1" ht="16">
      <c r="B3" s="56" t="s">
        <v>1</v>
      </c>
      <c r="C3" s="56"/>
      <c r="D3" s="53"/>
      <c r="E3" s="53"/>
      <c r="F3" s="53"/>
      <c r="G3" s="55"/>
    </row>
    <row r="4" spans="2:7" ht="16">
      <c r="B4" s="57" t="s">
        <v>7</v>
      </c>
      <c r="C4" s="57"/>
      <c r="D4" s="8">
        <v>2</v>
      </c>
      <c r="E4" s="8">
        <v>2</v>
      </c>
      <c r="F4" s="9">
        <v>3000</v>
      </c>
      <c r="G4" s="10">
        <f>F4*E4*D4</f>
        <v>12000</v>
      </c>
    </row>
    <row r="5" spans="2:7" ht="16">
      <c r="B5" s="57" t="s">
        <v>8</v>
      </c>
      <c r="C5" s="57"/>
      <c r="D5" s="8">
        <v>3</v>
      </c>
      <c r="E5" s="8">
        <v>2</v>
      </c>
      <c r="F5" s="9">
        <v>1000</v>
      </c>
      <c r="G5" s="10">
        <f>F5*E5*D5</f>
        <v>6000</v>
      </c>
    </row>
    <row r="6" spans="2:7" ht="16">
      <c r="B6" s="57" t="s">
        <v>9</v>
      </c>
      <c r="C6" s="57"/>
      <c r="D6" s="8">
        <v>4</v>
      </c>
      <c r="E6" s="8">
        <v>2</v>
      </c>
      <c r="F6" s="9">
        <v>1000</v>
      </c>
      <c r="G6" s="10">
        <f>F6*E6*D6</f>
        <v>8000</v>
      </c>
    </row>
    <row r="7" spans="2:7" ht="16">
      <c r="B7" s="57" t="s">
        <v>10</v>
      </c>
      <c r="C7" s="57"/>
      <c r="D7" s="8">
        <v>2</v>
      </c>
      <c r="E7" s="8">
        <v>2</v>
      </c>
      <c r="F7" s="9">
        <v>1750</v>
      </c>
      <c r="G7" s="10">
        <f>F7*E7*D7</f>
        <v>7000</v>
      </c>
    </row>
    <row r="8" spans="2:7" ht="16">
      <c r="B8" s="57" t="s">
        <v>11</v>
      </c>
      <c r="C8" s="57"/>
      <c r="D8" s="8">
        <v>4</v>
      </c>
      <c r="E8" s="8">
        <v>2</v>
      </c>
      <c r="F8" s="9">
        <v>1000</v>
      </c>
      <c r="G8" s="10">
        <f>F8*E8*D8</f>
        <v>8000</v>
      </c>
    </row>
    <row r="9" spans="2:7" ht="16">
      <c r="B9" s="51" t="s">
        <v>12</v>
      </c>
      <c r="C9" s="52"/>
      <c r="D9" s="4"/>
      <c r="E9" s="4"/>
      <c r="F9" s="12"/>
      <c r="G9" s="12">
        <f>SUM(G4:G8)</f>
        <v>41000</v>
      </c>
    </row>
    <row r="10" spans="2:7" ht="16">
      <c r="B10" s="2"/>
      <c r="C10" s="2"/>
      <c r="D10" s="2"/>
      <c r="E10" s="2"/>
      <c r="F10" s="3"/>
      <c r="G10" s="2"/>
    </row>
    <row r="11" spans="2:7" ht="16" customHeight="1">
      <c r="B11" s="56" t="s">
        <v>13</v>
      </c>
      <c r="C11" s="56"/>
      <c r="D11" s="53" t="s">
        <v>2</v>
      </c>
      <c r="E11" s="53" t="s">
        <v>3</v>
      </c>
      <c r="F11" s="53" t="s">
        <v>4</v>
      </c>
      <c r="G11" s="54" t="s">
        <v>51</v>
      </c>
    </row>
    <row r="12" spans="2:7" s="7" customFormat="1" ht="16">
      <c r="B12" s="56" t="s">
        <v>1</v>
      </c>
      <c r="C12" s="56"/>
      <c r="D12" s="53"/>
      <c r="E12" s="53"/>
      <c r="F12" s="53"/>
      <c r="G12" s="55"/>
    </row>
    <row r="13" spans="2:7" ht="16">
      <c r="B13" s="60" t="s">
        <v>14</v>
      </c>
      <c r="C13" s="61"/>
      <c r="D13" s="13">
        <v>2</v>
      </c>
      <c r="E13" s="13">
        <v>8</v>
      </c>
      <c r="F13" s="10">
        <v>187.83</v>
      </c>
      <c r="G13" s="10">
        <f>F13*E13*D13</f>
        <v>3005.28</v>
      </c>
    </row>
    <row r="14" spans="2:7" ht="16">
      <c r="B14" s="60" t="s">
        <v>15</v>
      </c>
      <c r="C14" s="61"/>
      <c r="D14" s="13">
        <v>3</v>
      </c>
      <c r="E14" s="13">
        <v>8</v>
      </c>
      <c r="F14" s="10">
        <v>187.83</v>
      </c>
      <c r="G14" s="10">
        <f>F14*E14*D14</f>
        <v>4507.92</v>
      </c>
    </row>
    <row r="15" spans="2:7" ht="16">
      <c r="B15" s="60" t="s">
        <v>9</v>
      </c>
      <c r="C15" s="61"/>
      <c r="D15" s="13">
        <v>4</v>
      </c>
      <c r="E15" s="13">
        <v>4</v>
      </c>
      <c r="F15" s="10">
        <v>187.83</v>
      </c>
      <c r="G15" s="10">
        <f>F15*E15*D15</f>
        <v>3005.28</v>
      </c>
    </row>
    <row r="16" spans="2:7" ht="16">
      <c r="B16" s="60" t="s">
        <v>16</v>
      </c>
      <c r="C16" s="61"/>
      <c r="D16" s="13">
        <v>2</v>
      </c>
      <c r="E16" s="13">
        <v>8</v>
      </c>
      <c r="F16" s="10">
        <v>187.83</v>
      </c>
      <c r="G16" s="10">
        <f>F16*E16*D16</f>
        <v>3005.28</v>
      </c>
    </row>
    <row r="17" spans="2:7" ht="16">
      <c r="B17" s="60" t="s">
        <v>17</v>
      </c>
      <c r="C17" s="61"/>
      <c r="D17" s="13">
        <v>4</v>
      </c>
      <c r="E17" s="13">
        <v>8</v>
      </c>
      <c r="F17" s="10">
        <v>187.83</v>
      </c>
      <c r="G17" s="10">
        <f>F17*E17*D17</f>
        <v>6010.56</v>
      </c>
    </row>
    <row r="18" spans="2:7" ht="16">
      <c r="B18" s="51" t="s">
        <v>12</v>
      </c>
      <c r="C18" s="52"/>
      <c r="D18" s="14"/>
      <c r="E18" s="14"/>
      <c r="F18" s="15"/>
      <c r="G18" s="12">
        <f t="shared" ref="G18" si="0">SUM(G13:G17)</f>
        <v>19534.320000000003</v>
      </c>
    </row>
    <row r="19" spans="2:7" ht="16">
      <c r="B19" s="2"/>
      <c r="C19" s="2"/>
      <c r="D19" s="2"/>
      <c r="E19" s="2"/>
      <c r="F19" s="3"/>
      <c r="G19" s="2"/>
    </row>
    <row r="20" spans="2:7" ht="16" customHeight="1">
      <c r="B20" s="56" t="s">
        <v>18</v>
      </c>
      <c r="C20" s="56"/>
      <c r="D20" s="53" t="s">
        <v>2</v>
      </c>
      <c r="E20" s="53" t="s">
        <v>3</v>
      </c>
      <c r="F20" s="53" t="s">
        <v>4</v>
      </c>
      <c r="G20" s="54" t="s">
        <v>51</v>
      </c>
    </row>
    <row r="21" spans="2:7" s="7" customFormat="1" ht="16">
      <c r="B21" s="56" t="s">
        <v>1</v>
      </c>
      <c r="C21" s="56"/>
      <c r="D21" s="53"/>
      <c r="E21" s="53"/>
      <c r="F21" s="53"/>
      <c r="G21" s="55"/>
    </row>
    <row r="22" spans="2:7" ht="16">
      <c r="B22" s="60" t="s">
        <v>19</v>
      </c>
      <c r="C22" s="61"/>
      <c r="D22" s="13">
        <v>4</v>
      </c>
      <c r="E22" s="13">
        <v>4</v>
      </c>
      <c r="F22" s="10">
        <v>2340</v>
      </c>
      <c r="G22" s="10">
        <f>D22*E22*F22</f>
        <v>37440</v>
      </c>
    </row>
    <row r="23" spans="2:7" ht="16">
      <c r="B23" s="60" t="s">
        <v>20</v>
      </c>
      <c r="C23" s="61"/>
      <c r="D23" s="13">
        <v>4</v>
      </c>
      <c r="E23" s="13">
        <v>4</v>
      </c>
      <c r="F23" s="10">
        <v>250</v>
      </c>
      <c r="G23" s="10">
        <f t="shared" ref="G23:G28" si="1">F23*E23*D23</f>
        <v>4000</v>
      </c>
    </row>
    <row r="24" spans="2:7" ht="16">
      <c r="B24" s="60" t="s">
        <v>21</v>
      </c>
      <c r="C24" s="61"/>
      <c r="D24" s="13">
        <v>10</v>
      </c>
      <c r="E24" s="13">
        <v>4</v>
      </c>
      <c r="F24" s="10">
        <v>50</v>
      </c>
      <c r="G24" s="10">
        <f t="shared" si="1"/>
        <v>2000</v>
      </c>
    </row>
    <row r="25" spans="2:7" ht="16">
      <c r="B25" s="60" t="s">
        <v>22</v>
      </c>
      <c r="C25" s="61"/>
      <c r="D25" s="13">
        <v>1</v>
      </c>
      <c r="E25" s="13">
        <v>4</v>
      </c>
      <c r="F25" s="10">
        <v>1750</v>
      </c>
      <c r="G25" s="10">
        <f t="shared" si="1"/>
        <v>7000</v>
      </c>
    </row>
    <row r="26" spans="2:7" ht="16">
      <c r="B26" s="60" t="s">
        <v>23</v>
      </c>
      <c r="C26" s="61"/>
      <c r="D26" s="13">
        <v>4</v>
      </c>
      <c r="E26" s="13">
        <v>4</v>
      </c>
      <c r="F26" s="10">
        <v>100</v>
      </c>
      <c r="G26" s="10">
        <f t="shared" si="1"/>
        <v>1600</v>
      </c>
    </row>
    <row r="27" spans="2:7" ht="16">
      <c r="B27" s="60" t="s">
        <v>24</v>
      </c>
      <c r="C27" s="61"/>
      <c r="D27" s="13">
        <v>17</v>
      </c>
      <c r="E27" s="13">
        <v>2</v>
      </c>
      <c r="F27" s="10">
        <v>80</v>
      </c>
      <c r="G27" s="10">
        <f t="shared" si="1"/>
        <v>2720</v>
      </c>
    </row>
    <row r="28" spans="2:7" ht="16">
      <c r="B28" s="60" t="s">
        <v>25</v>
      </c>
      <c r="C28" s="61"/>
      <c r="D28" s="13">
        <v>1</v>
      </c>
      <c r="E28" s="13">
        <v>4</v>
      </c>
      <c r="F28" s="10">
        <v>1250</v>
      </c>
      <c r="G28" s="10">
        <f t="shared" si="1"/>
        <v>5000</v>
      </c>
    </row>
    <row r="29" spans="2:7" ht="16">
      <c r="B29" s="51" t="s">
        <v>12</v>
      </c>
      <c r="C29" s="52"/>
      <c r="D29" s="17"/>
      <c r="E29" s="17"/>
      <c r="F29" s="18"/>
      <c r="G29" s="18">
        <f>SUM(G22:G28)</f>
        <v>59760</v>
      </c>
    </row>
    <row r="30" spans="2:7" ht="16">
      <c r="B30" s="19"/>
      <c r="C30" s="19"/>
      <c r="D30" s="19"/>
      <c r="E30" s="19"/>
      <c r="F30" s="20"/>
      <c r="G30" s="20"/>
    </row>
    <row r="31" spans="2:7" ht="16" customHeight="1">
      <c r="B31" s="56" t="s">
        <v>26</v>
      </c>
      <c r="C31" s="56"/>
      <c r="D31" s="53" t="s">
        <v>2</v>
      </c>
      <c r="E31" s="53" t="s">
        <v>3</v>
      </c>
      <c r="F31" s="53" t="s">
        <v>4</v>
      </c>
      <c r="G31" s="54" t="s">
        <v>51</v>
      </c>
    </row>
    <row r="32" spans="2:7" s="7" customFormat="1" ht="16">
      <c r="B32" s="56" t="s">
        <v>1</v>
      </c>
      <c r="C32" s="56"/>
      <c r="D32" s="53"/>
      <c r="E32" s="53"/>
      <c r="F32" s="53"/>
      <c r="G32" s="55"/>
    </row>
    <row r="33" spans="2:7" ht="16">
      <c r="B33" s="57" t="s">
        <v>27</v>
      </c>
      <c r="C33" s="57"/>
      <c r="D33" s="13">
        <v>1</v>
      </c>
      <c r="E33" s="13">
        <v>400</v>
      </c>
      <c r="F33" s="10">
        <v>2.5</v>
      </c>
      <c r="G33" s="10">
        <f t="shared" ref="G33:G39" si="2">F33*E33*D33</f>
        <v>1000</v>
      </c>
    </row>
    <row r="34" spans="2:7" ht="16">
      <c r="B34" s="57" t="s">
        <v>28</v>
      </c>
      <c r="C34" s="57"/>
      <c r="D34" s="13">
        <v>1</v>
      </c>
      <c r="E34" s="13">
        <v>400</v>
      </c>
      <c r="F34" s="10">
        <v>5</v>
      </c>
      <c r="G34" s="10">
        <f t="shared" si="2"/>
        <v>2000</v>
      </c>
    </row>
    <row r="35" spans="2:7" ht="16">
      <c r="B35" s="57" t="s">
        <v>29</v>
      </c>
      <c r="C35" s="57"/>
      <c r="D35" s="13">
        <v>1</v>
      </c>
      <c r="E35" s="13">
        <v>50</v>
      </c>
      <c r="F35" s="10">
        <v>20</v>
      </c>
      <c r="G35" s="10">
        <f t="shared" si="2"/>
        <v>1000</v>
      </c>
    </row>
    <row r="36" spans="2:7" ht="16">
      <c r="B36" s="57" t="s">
        <v>30</v>
      </c>
      <c r="C36" s="57"/>
      <c r="D36" s="13">
        <v>1</v>
      </c>
      <c r="E36" s="13">
        <v>400</v>
      </c>
      <c r="F36" s="10">
        <v>5</v>
      </c>
      <c r="G36" s="10">
        <f t="shared" si="2"/>
        <v>2000</v>
      </c>
    </row>
    <row r="37" spans="2:7" ht="16">
      <c r="B37" s="58" t="s">
        <v>31</v>
      </c>
      <c r="C37" s="58"/>
      <c r="D37" s="13">
        <v>1</v>
      </c>
      <c r="E37" s="13">
        <v>400</v>
      </c>
      <c r="F37" s="10">
        <v>2.5</v>
      </c>
      <c r="G37" s="10">
        <f t="shared" si="2"/>
        <v>1000</v>
      </c>
    </row>
    <row r="38" spans="2:7" ht="16">
      <c r="B38" s="57" t="s">
        <v>32</v>
      </c>
      <c r="C38" s="57"/>
      <c r="D38" s="13">
        <v>1</v>
      </c>
      <c r="E38" s="13">
        <v>1</v>
      </c>
      <c r="F38" s="10">
        <v>4000</v>
      </c>
      <c r="G38" s="10">
        <f t="shared" si="2"/>
        <v>4000</v>
      </c>
    </row>
    <row r="39" spans="2:7" ht="16">
      <c r="B39" s="57" t="s">
        <v>33</v>
      </c>
      <c r="C39" s="57"/>
      <c r="D39" s="13">
        <v>1</v>
      </c>
      <c r="E39" s="13">
        <v>400</v>
      </c>
      <c r="F39" s="10">
        <v>5</v>
      </c>
      <c r="G39" s="10">
        <f t="shared" si="2"/>
        <v>2000</v>
      </c>
    </row>
    <row r="40" spans="2:7" ht="16">
      <c r="B40" s="57" t="s">
        <v>34</v>
      </c>
      <c r="C40" s="57"/>
      <c r="D40" s="13">
        <v>1</v>
      </c>
      <c r="E40" s="13">
        <v>1</v>
      </c>
      <c r="F40" s="10">
        <v>9500</v>
      </c>
      <c r="G40" s="10">
        <v>9500</v>
      </c>
    </row>
    <row r="41" spans="2:7" ht="16">
      <c r="B41" s="59" t="s">
        <v>12</v>
      </c>
      <c r="C41" s="59"/>
      <c r="D41" s="22"/>
      <c r="E41" s="22"/>
      <c r="F41" s="23"/>
      <c r="G41" s="23">
        <f t="shared" ref="G41" si="3">SUM(G33:G40)</f>
        <v>22500</v>
      </c>
    </row>
    <row r="42" spans="2:7" ht="16">
      <c r="B42" s="24"/>
      <c r="C42" s="1"/>
      <c r="D42" s="1"/>
      <c r="E42" s="1"/>
      <c r="F42" s="25"/>
      <c r="G42" s="25"/>
    </row>
    <row r="43" spans="2:7" ht="16" customHeight="1">
      <c r="B43" s="56" t="s">
        <v>35</v>
      </c>
      <c r="C43" s="56"/>
      <c r="D43" s="53" t="s">
        <v>2</v>
      </c>
      <c r="E43" s="53" t="s">
        <v>3</v>
      </c>
      <c r="F43" s="53" t="s">
        <v>4</v>
      </c>
      <c r="G43" s="54" t="s">
        <v>51</v>
      </c>
    </row>
    <row r="44" spans="2:7" ht="16">
      <c r="B44" s="56" t="s">
        <v>1</v>
      </c>
      <c r="C44" s="56"/>
      <c r="D44" s="53"/>
      <c r="E44" s="53"/>
      <c r="F44" s="53"/>
      <c r="G44" s="55"/>
    </row>
    <row r="45" spans="2:7" ht="16">
      <c r="B45" s="30" t="s">
        <v>36</v>
      </c>
      <c r="C45" s="31"/>
      <c r="D45" s="8">
        <v>1</v>
      </c>
      <c r="E45" s="8">
        <v>400</v>
      </c>
      <c r="F45" s="9">
        <v>18</v>
      </c>
      <c r="G45" s="9">
        <f>F45*E45*D45</f>
        <v>7200</v>
      </c>
    </row>
    <row r="46" spans="2:7" ht="16">
      <c r="B46" s="49" t="s">
        <v>37</v>
      </c>
      <c r="C46" s="50"/>
      <c r="D46" s="8">
        <v>1</v>
      </c>
      <c r="E46" s="8">
        <v>400</v>
      </c>
      <c r="F46" s="9">
        <v>22.5</v>
      </c>
      <c r="G46" s="9">
        <f>F46*E46*D46</f>
        <v>9000</v>
      </c>
    </row>
    <row r="47" spans="2:7" ht="16">
      <c r="B47" s="49" t="s">
        <v>47</v>
      </c>
      <c r="C47" s="50"/>
      <c r="D47" s="8">
        <v>1</v>
      </c>
      <c r="E47" s="8">
        <v>1</v>
      </c>
      <c r="F47" s="9">
        <v>5000</v>
      </c>
      <c r="G47" s="9">
        <v>5000</v>
      </c>
    </row>
    <row r="48" spans="2:7" ht="16">
      <c r="B48" s="49" t="s">
        <v>48</v>
      </c>
      <c r="C48" s="50"/>
      <c r="D48" s="8">
        <v>1</v>
      </c>
      <c r="E48" s="8">
        <v>1</v>
      </c>
      <c r="F48" s="9">
        <v>9000</v>
      </c>
      <c r="G48" s="9">
        <f>F48*E48*D48</f>
        <v>9000</v>
      </c>
    </row>
    <row r="49" spans="2:7" ht="16">
      <c r="B49" s="51" t="s">
        <v>12</v>
      </c>
      <c r="C49" s="52"/>
      <c r="D49" s="17"/>
      <c r="E49" s="17"/>
      <c r="F49" s="18"/>
      <c r="G49" s="18">
        <f t="shared" ref="G49" si="4">SUM(G45:G48)</f>
        <v>30200</v>
      </c>
    </row>
    <row r="50" spans="2:7" ht="16">
      <c r="B50" s="24"/>
      <c r="C50" s="1"/>
      <c r="D50" s="1"/>
      <c r="E50" s="1"/>
      <c r="F50" s="25"/>
      <c r="G50" s="25"/>
    </row>
    <row r="51" spans="2:7" ht="16" customHeight="1">
      <c r="B51" s="56" t="s">
        <v>38</v>
      </c>
      <c r="C51" s="56"/>
      <c r="D51" s="53" t="s">
        <v>2</v>
      </c>
      <c r="E51" s="53" t="s">
        <v>3</v>
      </c>
      <c r="F51" s="53" t="s">
        <v>4</v>
      </c>
      <c r="G51" s="54" t="s">
        <v>51</v>
      </c>
    </row>
    <row r="52" spans="2:7" s="7" customFormat="1" ht="16">
      <c r="B52" s="56" t="s">
        <v>1</v>
      </c>
      <c r="C52" s="56"/>
      <c r="D52" s="53"/>
      <c r="E52" s="53"/>
      <c r="F52" s="53"/>
      <c r="G52" s="55"/>
    </row>
    <row r="53" spans="2:7" ht="16">
      <c r="B53" s="49" t="s">
        <v>39</v>
      </c>
      <c r="C53" s="50"/>
      <c r="D53" s="8">
        <v>8</v>
      </c>
      <c r="E53" s="8">
        <v>250</v>
      </c>
      <c r="F53" s="9">
        <v>16</v>
      </c>
      <c r="G53" s="9">
        <f>F53*E53*D53</f>
        <v>32000</v>
      </c>
    </row>
    <row r="54" spans="2:7" ht="16">
      <c r="B54" s="49" t="s">
        <v>40</v>
      </c>
      <c r="C54" s="50"/>
      <c r="D54" s="8">
        <v>1</v>
      </c>
      <c r="E54" s="8">
        <v>200</v>
      </c>
      <c r="F54" s="9">
        <v>66</v>
      </c>
      <c r="G54" s="9">
        <f>F54*E54*D54</f>
        <v>13200</v>
      </c>
    </row>
    <row r="55" spans="2:7" ht="16">
      <c r="B55" s="51" t="s">
        <v>12</v>
      </c>
      <c r="C55" s="52"/>
      <c r="D55" s="17"/>
      <c r="E55" s="17"/>
      <c r="F55" s="18"/>
      <c r="G55" s="18">
        <f t="shared" ref="G55" si="5">SUM(G53:G54)</f>
        <v>45200</v>
      </c>
    </row>
    <row r="56" spans="2:7" ht="16">
      <c r="B56" s="2"/>
      <c r="C56" s="2"/>
      <c r="D56" s="2"/>
      <c r="E56" s="2"/>
      <c r="F56" s="3"/>
      <c r="G56" s="3"/>
    </row>
    <row r="57" spans="2:7" s="34" customFormat="1" ht="26" customHeight="1">
      <c r="B57" s="42" t="s">
        <v>41</v>
      </c>
      <c r="C57" s="43"/>
      <c r="D57" s="43"/>
      <c r="E57" s="43"/>
      <c r="F57" s="44"/>
      <c r="G57" s="33">
        <f>G9+G18+G29+G41+G49+G55</f>
        <v>218194.32</v>
      </c>
    </row>
    <row r="58" spans="2:7">
      <c r="B58" s="28"/>
      <c r="C58" s="28"/>
      <c r="D58" s="28"/>
      <c r="E58" s="28"/>
      <c r="F58" s="28"/>
      <c r="G58" s="28"/>
    </row>
    <row r="60" spans="2:7" ht="16">
      <c r="B60" s="45" t="s">
        <v>1</v>
      </c>
      <c r="C60" s="46"/>
      <c r="D60" s="46"/>
      <c r="E60" s="46"/>
      <c r="F60" s="47"/>
      <c r="G60" s="5" t="s">
        <v>5</v>
      </c>
    </row>
    <row r="61" spans="2:7" ht="16">
      <c r="B61" s="38" t="s">
        <v>0</v>
      </c>
      <c r="C61" s="38"/>
      <c r="D61" s="38"/>
      <c r="E61" s="38"/>
      <c r="F61" s="38"/>
      <c r="G61" s="9">
        <f>G9</f>
        <v>41000</v>
      </c>
    </row>
    <row r="62" spans="2:7" ht="16">
      <c r="B62" s="48" t="s">
        <v>13</v>
      </c>
      <c r="C62" s="48"/>
      <c r="D62" s="48"/>
      <c r="E62" s="48"/>
      <c r="F62" s="48"/>
      <c r="G62" s="9">
        <f>G18</f>
        <v>19534.320000000003</v>
      </c>
    </row>
    <row r="63" spans="2:7" ht="16">
      <c r="B63" s="38" t="s">
        <v>18</v>
      </c>
      <c r="C63" s="38"/>
      <c r="D63" s="38"/>
      <c r="E63" s="38"/>
      <c r="F63" s="38"/>
      <c r="G63" s="9">
        <f>G29</f>
        <v>59760</v>
      </c>
    </row>
    <row r="64" spans="2:7" ht="16">
      <c r="B64" s="38" t="s">
        <v>26</v>
      </c>
      <c r="C64" s="38"/>
      <c r="D64" s="38"/>
      <c r="E64" s="38"/>
      <c r="F64" s="38"/>
      <c r="G64" s="10">
        <f>G41</f>
        <v>22500</v>
      </c>
    </row>
    <row r="65" spans="2:7" s="2" customFormat="1" ht="16">
      <c r="B65" s="38" t="s">
        <v>42</v>
      </c>
      <c r="C65" s="38"/>
      <c r="D65" s="38"/>
      <c r="E65" s="38"/>
      <c r="F65" s="38"/>
      <c r="G65" s="10">
        <f>G49</f>
        <v>30200</v>
      </c>
    </row>
    <row r="66" spans="2:7" s="2" customFormat="1" ht="16">
      <c r="B66" s="38" t="s">
        <v>38</v>
      </c>
      <c r="C66" s="38"/>
      <c r="D66" s="38"/>
      <c r="E66" s="38"/>
      <c r="F66" s="38"/>
      <c r="G66" s="9">
        <f>G55</f>
        <v>45200</v>
      </c>
    </row>
    <row r="67" spans="2:7" ht="16">
      <c r="B67" s="39" t="s">
        <v>43</v>
      </c>
      <c r="C67" s="40"/>
      <c r="D67" s="40"/>
      <c r="E67" s="40"/>
      <c r="F67" s="41"/>
      <c r="G67" s="18">
        <f t="shared" ref="G67" si="6">SUM(G61:G66)</f>
        <v>218194.32</v>
      </c>
    </row>
  </sheetData>
  <mergeCells count="81">
    <mergeCell ref="F2:F3"/>
    <mergeCell ref="G2:G3"/>
    <mergeCell ref="B3:C3"/>
    <mergeCell ref="B4:C4"/>
    <mergeCell ref="B2:C2"/>
    <mergeCell ref="D2:D3"/>
    <mergeCell ref="E2:E3"/>
    <mergeCell ref="G11:G12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D11:D12"/>
    <mergeCell ref="E11:E12"/>
    <mergeCell ref="F20:F21"/>
    <mergeCell ref="F11:F12"/>
    <mergeCell ref="G20:G21"/>
    <mergeCell ref="B15:C15"/>
    <mergeCell ref="B16:C16"/>
    <mergeCell ref="B17:C17"/>
    <mergeCell ref="B18:C18"/>
    <mergeCell ref="B20:C20"/>
    <mergeCell ref="D20:D21"/>
    <mergeCell ref="B21:C21"/>
    <mergeCell ref="B22:C22"/>
    <mergeCell ref="B23:C23"/>
    <mergeCell ref="B24:C24"/>
    <mergeCell ref="E20:E21"/>
    <mergeCell ref="F31:F32"/>
    <mergeCell ref="G31:G32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D31:D32"/>
    <mergeCell ref="E31:E32"/>
    <mergeCell ref="F43:F44"/>
    <mergeCell ref="G43:G44"/>
    <mergeCell ref="B35:C35"/>
    <mergeCell ref="B36:C36"/>
    <mergeCell ref="B37:C37"/>
    <mergeCell ref="B38:C38"/>
    <mergeCell ref="B39:C39"/>
    <mergeCell ref="B40:C40"/>
    <mergeCell ref="B44:C44"/>
    <mergeCell ref="B41:C41"/>
    <mergeCell ref="B43:C43"/>
    <mergeCell ref="D43:D44"/>
    <mergeCell ref="E43:E44"/>
    <mergeCell ref="G51:G52"/>
    <mergeCell ref="B46:C46"/>
    <mergeCell ref="B47:C47"/>
    <mergeCell ref="B48:C48"/>
    <mergeCell ref="B49:C49"/>
    <mergeCell ref="B51:C51"/>
    <mergeCell ref="D51:D52"/>
    <mergeCell ref="B52:C52"/>
    <mergeCell ref="B53:C53"/>
    <mergeCell ref="B54:C54"/>
    <mergeCell ref="B55:C55"/>
    <mergeCell ref="E51:E52"/>
    <mergeCell ref="B65:F65"/>
    <mergeCell ref="F51:F52"/>
    <mergeCell ref="B66:F66"/>
    <mergeCell ref="B67:F67"/>
    <mergeCell ref="B57:F57"/>
    <mergeCell ref="B60:F60"/>
    <mergeCell ref="B61:F61"/>
    <mergeCell ref="B62:F62"/>
    <mergeCell ref="B63:F63"/>
    <mergeCell ref="B64:F6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69"/>
  <sheetViews>
    <sheetView topLeftCell="B46" workbookViewId="0">
      <selection activeCell="I67" sqref="I65:I67"/>
    </sheetView>
  </sheetViews>
  <sheetFormatPr baseColWidth="10" defaultColWidth="8.83203125" defaultRowHeight="15" x14ac:dyDescent="0"/>
  <cols>
    <col min="1" max="1" width="10.6640625" hidden="1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17" width="13.6640625" customWidth="1"/>
  </cols>
  <sheetData>
    <row r="2" spans="2:17" ht="16" customHeight="1">
      <c r="B2" s="56" t="s">
        <v>0</v>
      </c>
      <c r="C2" s="56"/>
      <c r="D2" s="53" t="s">
        <v>2</v>
      </c>
      <c r="E2" s="53" t="s">
        <v>3</v>
      </c>
      <c r="F2" s="53" t="s">
        <v>4</v>
      </c>
      <c r="G2" s="54" t="s">
        <v>51</v>
      </c>
      <c r="H2" s="66" t="s">
        <v>6</v>
      </c>
      <c r="I2" s="67"/>
      <c r="J2" s="66" t="s">
        <v>45</v>
      </c>
      <c r="K2" s="67"/>
      <c r="L2" s="66" t="s">
        <v>46</v>
      </c>
      <c r="M2" s="67"/>
      <c r="N2" s="66" t="s">
        <v>44</v>
      </c>
      <c r="O2" s="68"/>
      <c r="P2" s="54" t="s">
        <v>53</v>
      </c>
      <c r="Q2" s="54" t="s">
        <v>52</v>
      </c>
    </row>
    <row r="3" spans="2:17" s="7" customFormat="1" ht="16">
      <c r="B3" s="56" t="s">
        <v>1</v>
      </c>
      <c r="C3" s="56"/>
      <c r="D3" s="53"/>
      <c r="E3" s="53"/>
      <c r="F3" s="53"/>
      <c r="G3" s="55"/>
      <c r="H3" s="6" t="s">
        <v>49</v>
      </c>
      <c r="I3" s="6" t="s">
        <v>50</v>
      </c>
      <c r="J3" s="6" t="s">
        <v>49</v>
      </c>
      <c r="K3" s="6" t="s">
        <v>50</v>
      </c>
      <c r="L3" s="6" t="s">
        <v>49</v>
      </c>
      <c r="M3" s="6" t="s">
        <v>50</v>
      </c>
      <c r="N3" s="6" t="s">
        <v>49</v>
      </c>
      <c r="O3" s="6" t="s">
        <v>50</v>
      </c>
      <c r="P3" s="55"/>
      <c r="Q3" s="55"/>
    </row>
    <row r="4" spans="2:17" ht="16">
      <c r="B4" s="57" t="s">
        <v>7</v>
      </c>
      <c r="C4" s="57"/>
      <c r="D4" s="8">
        <f>Simples!D4</f>
        <v>2</v>
      </c>
      <c r="E4" s="8">
        <f>Simples!E4</f>
        <v>2</v>
      </c>
      <c r="F4" s="9">
        <f>Simples!F4</f>
        <v>3000</v>
      </c>
      <c r="G4" s="10">
        <f>F4*E4*D4</f>
        <v>12000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7000</v>
      </c>
      <c r="O4" s="11">
        <v>0</v>
      </c>
      <c r="P4" s="16">
        <f>H4+J4+L4+N4</f>
        <v>7000</v>
      </c>
      <c r="Q4" s="16">
        <f>I4+K4+M4+O4</f>
        <v>0</v>
      </c>
    </row>
    <row r="5" spans="2:17" ht="16">
      <c r="B5" s="57" t="s">
        <v>8</v>
      </c>
      <c r="C5" s="57"/>
      <c r="D5" s="8">
        <f>Simples!D5</f>
        <v>3</v>
      </c>
      <c r="E5" s="8">
        <f>Simples!E5</f>
        <v>2</v>
      </c>
      <c r="F5" s="9">
        <f>Simples!F5</f>
        <v>1000</v>
      </c>
      <c r="G5" s="10">
        <f>F5*E5*D5</f>
        <v>6000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6">
        <f>H5+J5+L5+N5</f>
        <v>0</v>
      </c>
      <c r="Q5" s="16">
        <f>I5+K5+M5+O5</f>
        <v>0</v>
      </c>
    </row>
    <row r="6" spans="2:17" ht="16">
      <c r="B6" s="57" t="s">
        <v>9</v>
      </c>
      <c r="C6" s="57"/>
      <c r="D6" s="8">
        <f>Simples!D6</f>
        <v>4</v>
      </c>
      <c r="E6" s="8">
        <f>Simples!E6</f>
        <v>2</v>
      </c>
      <c r="F6" s="9">
        <f>Simples!F6</f>
        <v>1000</v>
      </c>
      <c r="G6" s="10">
        <f>F6*E6*D6</f>
        <v>8000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f>G6</f>
        <v>8000</v>
      </c>
      <c r="O6" s="11">
        <v>0</v>
      </c>
      <c r="P6" s="16">
        <f>H6+J6+L6+N6</f>
        <v>8000</v>
      </c>
      <c r="Q6" s="16">
        <f>I6+K6+M6+O6</f>
        <v>0</v>
      </c>
    </row>
    <row r="7" spans="2:17" ht="16">
      <c r="B7" s="57" t="s">
        <v>10</v>
      </c>
      <c r="C7" s="57"/>
      <c r="D7" s="8">
        <f>Simples!D7</f>
        <v>2</v>
      </c>
      <c r="E7" s="8">
        <f>Simples!E7</f>
        <v>2</v>
      </c>
      <c r="F7" s="9">
        <f>Simples!F7</f>
        <v>1750</v>
      </c>
      <c r="G7" s="10">
        <f>F7*E7*D7</f>
        <v>7000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6">
        <f>H7+J7+L7+N7</f>
        <v>0</v>
      </c>
      <c r="Q7" s="16">
        <f>I7+K7+M7+O7</f>
        <v>0</v>
      </c>
    </row>
    <row r="8" spans="2:17" ht="16">
      <c r="B8" s="57" t="s">
        <v>11</v>
      </c>
      <c r="C8" s="57"/>
      <c r="D8" s="8">
        <f>Simples!D8</f>
        <v>4</v>
      </c>
      <c r="E8" s="8">
        <f>Simples!E8</f>
        <v>2</v>
      </c>
      <c r="F8" s="9">
        <f>Simples!F8</f>
        <v>1000</v>
      </c>
      <c r="G8" s="10">
        <f>F8*E8*D8</f>
        <v>8000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f>G8</f>
        <v>8000</v>
      </c>
      <c r="O8" s="11">
        <v>0</v>
      </c>
      <c r="P8" s="16">
        <f>H8+J8+L8+N8</f>
        <v>8000</v>
      </c>
      <c r="Q8" s="16">
        <f>I8+K8+M8+O8</f>
        <v>0</v>
      </c>
    </row>
    <row r="9" spans="2:17" ht="16">
      <c r="B9" s="51" t="s">
        <v>12</v>
      </c>
      <c r="C9" s="52"/>
      <c r="D9" s="4"/>
      <c r="E9" s="4"/>
      <c r="F9" s="12"/>
      <c r="G9" s="12">
        <f>SUM(G4:G8)</f>
        <v>41000</v>
      </c>
      <c r="H9" s="12">
        <f>SUM(H4:H8)</f>
        <v>0</v>
      </c>
      <c r="I9" s="12">
        <f>SUM(I4:I8)</f>
        <v>0</v>
      </c>
      <c r="J9" s="12">
        <f>SUM(J4:J8)</f>
        <v>0</v>
      </c>
      <c r="K9" s="12">
        <f t="shared" ref="K9:Q9" si="0">SUM(K4:K8)</f>
        <v>0</v>
      </c>
      <c r="L9" s="12">
        <f t="shared" si="0"/>
        <v>0</v>
      </c>
      <c r="M9" s="12">
        <f t="shared" si="0"/>
        <v>0</v>
      </c>
      <c r="N9" s="12">
        <f t="shared" si="0"/>
        <v>23000</v>
      </c>
      <c r="O9" s="12">
        <f t="shared" si="0"/>
        <v>0</v>
      </c>
      <c r="P9" s="12">
        <f t="shared" si="0"/>
        <v>23000</v>
      </c>
      <c r="Q9" s="12">
        <f t="shared" si="0"/>
        <v>0</v>
      </c>
    </row>
    <row r="10" spans="2:17" ht="16">
      <c r="B10" s="2"/>
      <c r="C10" s="2"/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</row>
    <row r="11" spans="2:17" ht="16" customHeight="1">
      <c r="B11" s="56" t="s">
        <v>13</v>
      </c>
      <c r="C11" s="56"/>
      <c r="D11" s="53" t="s">
        <v>2</v>
      </c>
      <c r="E11" s="53" t="s">
        <v>3</v>
      </c>
      <c r="F11" s="53" t="s">
        <v>4</v>
      </c>
      <c r="G11" s="54" t="s">
        <v>51</v>
      </c>
      <c r="H11" s="66" t="s">
        <v>6</v>
      </c>
      <c r="I11" s="67"/>
      <c r="J11" s="66" t="s">
        <v>45</v>
      </c>
      <c r="K11" s="67"/>
      <c r="L11" s="66" t="s">
        <v>46</v>
      </c>
      <c r="M11" s="67"/>
      <c r="N11" s="66" t="s">
        <v>44</v>
      </c>
      <c r="O11" s="68"/>
      <c r="P11" s="54" t="s">
        <v>53</v>
      </c>
      <c r="Q11" s="54" t="s">
        <v>52</v>
      </c>
    </row>
    <row r="12" spans="2:17" s="7" customFormat="1" ht="16">
      <c r="B12" s="56" t="s">
        <v>1</v>
      </c>
      <c r="C12" s="56"/>
      <c r="D12" s="53"/>
      <c r="E12" s="53"/>
      <c r="F12" s="53"/>
      <c r="G12" s="55"/>
      <c r="H12" s="6" t="s">
        <v>49</v>
      </c>
      <c r="I12" s="6" t="s">
        <v>50</v>
      </c>
      <c r="J12" s="6" t="s">
        <v>49</v>
      </c>
      <c r="K12" s="6" t="s">
        <v>50</v>
      </c>
      <c r="L12" s="6" t="s">
        <v>49</v>
      </c>
      <c r="M12" s="6" t="s">
        <v>50</v>
      </c>
      <c r="N12" s="6" t="s">
        <v>49</v>
      </c>
      <c r="O12" s="6" t="s">
        <v>50</v>
      </c>
      <c r="P12" s="55"/>
      <c r="Q12" s="55"/>
    </row>
    <row r="13" spans="2:17" ht="16">
      <c r="B13" s="60" t="s">
        <v>14</v>
      </c>
      <c r="C13" s="61"/>
      <c r="D13" s="13">
        <v>2</v>
      </c>
      <c r="E13" s="13">
        <v>8</v>
      </c>
      <c r="F13" s="10">
        <v>187.83</v>
      </c>
      <c r="G13" s="10">
        <f>F13*E13*D13</f>
        <v>3005.28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f>G13</f>
        <v>3005.28</v>
      </c>
      <c r="O13" s="11">
        <v>0</v>
      </c>
      <c r="P13" s="16">
        <f>H13+J13+L13+N13</f>
        <v>3005.28</v>
      </c>
      <c r="Q13" s="16">
        <f>I13+K13+M13+O13</f>
        <v>0</v>
      </c>
    </row>
    <row r="14" spans="2:17" ht="16">
      <c r="B14" s="60" t="s">
        <v>15</v>
      </c>
      <c r="C14" s="61"/>
      <c r="D14" s="13">
        <v>3</v>
      </c>
      <c r="E14" s="13">
        <v>8</v>
      </c>
      <c r="F14" s="10">
        <v>187.83</v>
      </c>
      <c r="G14" s="10">
        <f>F14*E14*D14</f>
        <v>4507.92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6">
        <f>H14+J14+L14+N14</f>
        <v>0</v>
      </c>
      <c r="Q14" s="16">
        <f>I14+K14+M14+O14</f>
        <v>0</v>
      </c>
    </row>
    <row r="15" spans="2:17" ht="16">
      <c r="B15" s="60" t="s">
        <v>9</v>
      </c>
      <c r="C15" s="61"/>
      <c r="D15" s="13">
        <v>4</v>
      </c>
      <c r="E15" s="13">
        <v>4</v>
      </c>
      <c r="F15" s="10">
        <v>187.83</v>
      </c>
      <c r="G15" s="10">
        <f>F15*E15*D15</f>
        <v>3005.28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f>G15</f>
        <v>3005.28</v>
      </c>
      <c r="O15" s="11">
        <v>0</v>
      </c>
      <c r="P15" s="16">
        <f>H15+J15+L15+N15</f>
        <v>3005.28</v>
      </c>
      <c r="Q15" s="16">
        <f>I15+K15+M15+O15</f>
        <v>0</v>
      </c>
    </row>
    <row r="16" spans="2:17" ht="16">
      <c r="B16" s="60" t="s">
        <v>16</v>
      </c>
      <c r="C16" s="61"/>
      <c r="D16" s="13">
        <v>2</v>
      </c>
      <c r="E16" s="13">
        <v>8</v>
      </c>
      <c r="F16" s="10">
        <v>187.83</v>
      </c>
      <c r="G16" s="10">
        <f>F16*E16*D16</f>
        <v>3005.28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6">
        <f>H16+J16+L16+N16</f>
        <v>0</v>
      </c>
      <c r="Q16" s="16">
        <f>I16+K16+M16+O16</f>
        <v>0</v>
      </c>
    </row>
    <row r="17" spans="2:17" ht="16">
      <c r="B17" s="60" t="s">
        <v>17</v>
      </c>
      <c r="C17" s="61"/>
      <c r="D17" s="13">
        <v>4</v>
      </c>
      <c r="E17" s="13">
        <v>8</v>
      </c>
      <c r="F17" s="10">
        <v>187.83</v>
      </c>
      <c r="G17" s="10">
        <f>F17*E17*D17</f>
        <v>6010.56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f>G17</f>
        <v>6010.56</v>
      </c>
      <c r="O17" s="11">
        <v>0</v>
      </c>
      <c r="P17" s="16">
        <f>H17+J17+L17+N17</f>
        <v>6010.56</v>
      </c>
      <c r="Q17" s="16">
        <f>I17+K17+M17+O17</f>
        <v>0</v>
      </c>
    </row>
    <row r="18" spans="2:17" ht="16">
      <c r="B18" s="51" t="s">
        <v>12</v>
      </c>
      <c r="C18" s="52"/>
      <c r="D18" s="14"/>
      <c r="E18" s="14"/>
      <c r="F18" s="15"/>
      <c r="G18" s="12">
        <f t="shared" ref="G18:Q18" si="1">SUM(G13:G17)</f>
        <v>19534.320000000003</v>
      </c>
      <c r="H18" s="12">
        <f t="shared" si="1"/>
        <v>0</v>
      </c>
      <c r="I18" s="12">
        <f t="shared" si="1"/>
        <v>0</v>
      </c>
      <c r="J18" s="12">
        <f t="shared" si="1"/>
        <v>0</v>
      </c>
      <c r="K18" s="12">
        <f t="shared" si="1"/>
        <v>0</v>
      </c>
      <c r="L18" s="12">
        <f t="shared" si="1"/>
        <v>0</v>
      </c>
      <c r="M18" s="12">
        <f t="shared" si="1"/>
        <v>0</v>
      </c>
      <c r="N18" s="12">
        <f t="shared" si="1"/>
        <v>12021.12</v>
      </c>
      <c r="O18" s="12">
        <f t="shared" si="1"/>
        <v>0</v>
      </c>
      <c r="P18" s="12">
        <f t="shared" si="1"/>
        <v>12021.12</v>
      </c>
      <c r="Q18" s="12">
        <f t="shared" si="1"/>
        <v>0</v>
      </c>
    </row>
    <row r="19" spans="2:17" ht="16">
      <c r="B19" s="2"/>
      <c r="C19" s="2"/>
      <c r="D19" s="2"/>
      <c r="E19" s="2"/>
      <c r="F19" s="3"/>
      <c r="G19" s="2"/>
      <c r="H19" s="3"/>
      <c r="I19" s="3"/>
      <c r="J19" s="3"/>
      <c r="K19" s="3"/>
      <c r="L19" s="3"/>
      <c r="M19" s="3"/>
      <c r="N19" s="3"/>
      <c r="O19" s="3"/>
    </row>
    <row r="20" spans="2:17" ht="16" customHeight="1">
      <c r="B20" s="56" t="s">
        <v>18</v>
      </c>
      <c r="C20" s="56"/>
      <c r="D20" s="53" t="s">
        <v>2</v>
      </c>
      <c r="E20" s="53" t="s">
        <v>3</v>
      </c>
      <c r="F20" s="53" t="s">
        <v>4</v>
      </c>
      <c r="G20" s="54" t="s">
        <v>51</v>
      </c>
      <c r="H20" s="66" t="s">
        <v>6</v>
      </c>
      <c r="I20" s="67"/>
      <c r="J20" s="66" t="s">
        <v>45</v>
      </c>
      <c r="K20" s="67"/>
      <c r="L20" s="66" t="s">
        <v>46</v>
      </c>
      <c r="M20" s="67"/>
      <c r="N20" s="66" t="s">
        <v>44</v>
      </c>
      <c r="O20" s="68"/>
      <c r="P20" s="54" t="s">
        <v>53</v>
      </c>
      <c r="Q20" s="54" t="s">
        <v>52</v>
      </c>
    </row>
    <row r="21" spans="2:17" s="7" customFormat="1" ht="16">
      <c r="B21" s="56" t="s">
        <v>1</v>
      </c>
      <c r="C21" s="56"/>
      <c r="D21" s="53"/>
      <c r="E21" s="53"/>
      <c r="F21" s="53"/>
      <c r="G21" s="55"/>
      <c r="H21" s="6" t="s">
        <v>49</v>
      </c>
      <c r="I21" s="6" t="s">
        <v>50</v>
      </c>
      <c r="J21" s="6" t="s">
        <v>49</v>
      </c>
      <c r="K21" s="6" t="s">
        <v>50</v>
      </c>
      <c r="L21" s="6" t="s">
        <v>49</v>
      </c>
      <c r="M21" s="6" t="s">
        <v>50</v>
      </c>
      <c r="N21" s="6" t="s">
        <v>49</v>
      </c>
      <c r="O21" s="6" t="s">
        <v>50</v>
      </c>
      <c r="P21" s="55"/>
      <c r="Q21" s="55"/>
    </row>
    <row r="22" spans="2:17" ht="16">
      <c r="B22" s="60" t="s">
        <v>19</v>
      </c>
      <c r="C22" s="61"/>
      <c r="D22" s="13">
        <v>4</v>
      </c>
      <c r="E22" s="13">
        <v>4</v>
      </c>
      <c r="F22" s="10">
        <v>2340</v>
      </c>
      <c r="G22" s="10">
        <f>D22*E22*F22</f>
        <v>37440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f>G22</f>
        <v>37440</v>
      </c>
      <c r="O22" s="11">
        <v>0</v>
      </c>
      <c r="P22" s="16">
        <f>H22+J22+L22+N22</f>
        <v>37440</v>
      </c>
      <c r="Q22" s="16">
        <f>I22+K22+M22+O22</f>
        <v>0</v>
      </c>
    </row>
    <row r="23" spans="2:17" ht="16">
      <c r="B23" s="60" t="s">
        <v>20</v>
      </c>
      <c r="C23" s="61"/>
      <c r="D23" s="13">
        <v>4</v>
      </c>
      <c r="E23" s="13">
        <v>4</v>
      </c>
      <c r="F23" s="10">
        <v>250</v>
      </c>
      <c r="G23" s="10">
        <f t="shared" ref="G23:G28" si="2">F23*E23*D23</f>
        <v>4000</v>
      </c>
      <c r="H23" s="16">
        <v>4250</v>
      </c>
      <c r="I23" s="77">
        <v>4250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f>H23+J23+L23+N23</f>
        <v>4250</v>
      </c>
      <c r="Q23" s="16">
        <f>I23+K23+M23+O23</f>
        <v>4250</v>
      </c>
    </row>
    <row r="24" spans="2:17" ht="16">
      <c r="B24" s="60" t="s">
        <v>21</v>
      </c>
      <c r="C24" s="61"/>
      <c r="D24" s="13">
        <v>10</v>
      </c>
      <c r="E24" s="13">
        <v>4</v>
      </c>
      <c r="F24" s="10">
        <v>50</v>
      </c>
      <c r="G24" s="10">
        <f t="shared" si="2"/>
        <v>2000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f>H24+J24+L24+N24</f>
        <v>0</v>
      </c>
      <c r="Q24" s="16">
        <f>I24+K24+M24+O24</f>
        <v>0</v>
      </c>
    </row>
    <row r="25" spans="2:17" ht="16">
      <c r="B25" s="60" t="s">
        <v>22</v>
      </c>
      <c r="C25" s="61"/>
      <c r="D25" s="13">
        <v>1</v>
      </c>
      <c r="E25" s="13">
        <v>4</v>
      </c>
      <c r="F25" s="10">
        <v>1750</v>
      </c>
      <c r="G25" s="10">
        <f t="shared" si="2"/>
        <v>7000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f>G25</f>
        <v>7000</v>
      </c>
      <c r="O25" s="16">
        <v>0</v>
      </c>
      <c r="P25" s="16">
        <f>H25+J25+L25+N25</f>
        <v>7000</v>
      </c>
      <c r="Q25" s="16">
        <f>I25+K25+M25+O25</f>
        <v>0</v>
      </c>
    </row>
    <row r="26" spans="2:17" ht="16">
      <c r="B26" s="60" t="s">
        <v>23</v>
      </c>
      <c r="C26" s="61"/>
      <c r="D26" s="13">
        <v>4</v>
      </c>
      <c r="E26" s="13">
        <v>4</v>
      </c>
      <c r="F26" s="10">
        <v>100</v>
      </c>
      <c r="G26" s="10">
        <f t="shared" si="2"/>
        <v>1600</v>
      </c>
      <c r="H26" s="16">
        <v>1250</v>
      </c>
      <c r="I26" s="77">
        <v>1250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f>H26+J26+L26+N26</f>
        <v>1250</v>
      </c>
      <c r="Q26" s="16">
        <f>I26+K26+M26+O26</f>
        <v>1250</v>
      </c>
    </row>
    <row r="27" spans="2:17" ht="16">
      <c r="B27" s="60" t="s">
        <v>24</v>
      </c>
      <c r="C27" s="61"/>
      <c r="D27" s="13">
        <v>17</v>
      </c>
      <c r="E27" s="13">
        <v>2</v>
      </c>
      <c r="F27" s="10">
        <v>80</v>
      </c>
      <c r="G27" s="10">
        <f t="shared" si="2"/>
        <v>2720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f>H27+J27+L27+N27</f>
        <v>0</v>
      </c>
      <c r="Q27" s="16">
        <f>I27+K27+M27+O27</f>
        <v>0</v>
      </c>
    </row>
    <row r="28" spans="2:17" ht="16">
      <c r="B28" s="60" t="s">
        <v>25</v>
      </c>
      <c r="C28" s="61"/>
      <c r="D28" s="13">
        <v>1</v>
      </c>
      <c r="E28" s="13">
        <v>4</v>
      </c>
      <c r="F28" s="10">
        <v>1250</v>
      </c>
      <c r="G28" s="10">
        <f t="shared" si="2"/>
        <v>5000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f>H28+J28+L28+N28</f>
        <v>0</v>
      </c>
      <c r="Q28" s="16">
        <f>I28+K28+M28+O28</f>
        <v>0</v>
      </c>
    </row>
    <row r="29" spans="2:17" ht="16">
      <c r="B29" s="51" t="s">
        <v>12</v>
      </c>
      <c r="C29" s="52"/>
      <c r="D29" s="17"/>
      <c r="E29" s="17"/>
      <c r="F29" s="18"/>
      <c r="G29" s="18">
        <f>SUM(G22:G28)</f>
        <v>59760</v>
      </c>
      <c r="H29" s="12">
        <f t="shared" ref="H29:O29" si="3">SUM(H20:H28)</f>
        <v>5500</v>
      </c>
      <c r="I29" s="12">
        <f t="shared" si="3"/>
        <v>5500</v>
      </c>
      <c r="J29" s="12">
        <f t="shared" si="3"/>
        <v>0</v>
      </c>
      <c r="K29" s="12">
        <f t="shared" si="3"/>
        <v>0</v>
      </c>
      <c r="L29" s="12">
        <f t="shared" si="3"/>
        <v>0</v>
      </c>
      <c r="M29" s="12">
        <f t="shared" si="3"/>
        <v>0</v>
      </c>
      <c r="N29" s="12">
        <f t="shared" si="3"/>
        <v>44440</v>
      </c>
      <c r="O29" s="12">
        <f t="shared" si="3"/>
        <v>0</v>
      </c>
      <c r="P29" s="12">
        <f>SUM(P22:P28)</f>
        <v>49940</v>
      </c>
      <c r="Q29" s="12">
        <f>SUM(Q22:Q28)</f>
        <v>5500</v>
      </c>
    </row>
    <row r="30" spans="2:17" ht="16">
      <c r="B30" s="19"/>
      <c r="C30" s="19"/>
      <c r="D30" s="19"/>
      <c r="E30" s="19"/>
      <c r="F30" s="20"/>
      <c r="G30" s="20"/>
      <c r="H30" s="21"/>
      <c r="I30" s="21"/>
      <c r="J30" s="21"/>
      <c r="K30" s="21"/>
      <c r="L30" s="21"/>
      <c r="M30" s="21"/>
      <c r="N30" s="21"/>
      <c r="O30" s="21"/>
    </row>
    <row r="31" spans="2:17" ht="16" customHeight="1">
      <c r="B31" s="56" t="s">
        <v>26</v>
      </c>
      <c r="C31" s="56"/>
      <c r="D31" s="53" t="s">
        <v>2</v>
      </c>
      <c r="E31" s="53" t="s">
        <v>3</v>
      </c>
      <c r="F31" s="53" t="s">
        <v>4</v>
      </c>
      <c r="G31" s="54" t="s">
        <v>51</v>
      </c>
      <c r="H31" s="66" t="s">
        <v>6</v>
      </c>
      <c r="I31" s="67"/>
      <c r="J31" s="66" t="s">
        <v>45</v>
      </c>
      <c r="K31" s="67"/>
      <c r="L31" s="66" t="s">
        <v>46</v>
      </c>
      <c r="M31" s="67"/>
      <c r="N31" s="66" t="s">
        <v>44</v>
      </c>
      <c r="O31" s="68"/>
      <c r="P31" s="54" t="s">
        <v>53</v>
      </c>
      <c r="Q31" s="54" t="s">
        <v>52</v>
      </c>
    </row>
    <row r="32" spans="2:17" s="7" customFormat="1" ht="16">
      <c r="B32" s="56" t="s">
        <v>1</v>
      </c>
      <c r="C32" s="56"/>
      <c r="D32" s="53"/>
      <c r="E32" s="53"/>
      <c r="F32" s="53"/>
      <c r="G32" s="55"/>
      <c r="H32" s="6" t="s">
        <v>49</v>
      </c>
      <c r="I32" s="6" t="s">
        <v>50</v>
      </c>
      <c r="J32" s="6" t="s">
        <v>49</v>
      </c>
      <c r="K32" s="6" t="s">
        <v>50</v>
      </c>
      <c r="L32" s="6" t="s">
        <v>49</v>
      </c>
      <c r="M32" s="6" t="s">
        <v>50</v>
      </c>
      <c r="N32" s="6" t="s">
        <v>49</v>
      </c>
      <c r="O32" s="6" t="s">
        <v>50</v>
      </c>
      <c r="P32" s="55"/>
      <c r="Q32" s="55"/>
    </row>
    <row r="33" spans="2:17" ht="16">
      <c r="B33" s="57" t="s">
        <v>27</v>
      </c>
      <c r="C33" s="57"/>
      <c r="D33" s="13">
        <v>1</v>
      </c>
      <c r="E33" s="13">
        <v>400</v>
      </c>
      <c r="F33" s="10">
        <v>2.5</v>
      </c>
      <c r="G33" s="10">
        <f t="shared" ref="G33:G39" si="4">F33*E33*D33</f>
        <v>1000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f>G33</f>
        <v>1000</v>
      </c>
      <c r="O33" s="11">
        <v>0</v>
      </c>
      <c r="P33" s="16">
        <f>H33+J33+L33+N33</f>
        <v>1000</v>
      </c>
      <c r="Q33" s="16">
        <f>I33+K33+M33+O33</f>
        <v>0</v>
      </c>
    </row>
    <row r="34" spans="2:17" ht="16">
      <c r="B34" s="57" t="s">
        <v>28</v>
      </c>
      <c r="C34" s="57"/>
      <c r="D34" s="13">
        <v>1</v>
      </c>
      <c r="E34" s="13">
        <v>400</v>
      </c>
      <c r="F34" s="10">
        <v>5</v>
      </c>
      <c r="G34" s="10">
        <f t="shared" si="4"/>
        <v>2000</v>
      </c>
      <c r="H34" s="11">
        <v>1000</v>
      </c>
      <c r="I34" s="78">
        <v>1000</v>
      </c>
      <c r="J34" s="11">
        <v>0</v>
      </c>
      <c r="K34" s="11">
        <v>0</v>
      </c>
      <c r="L34" s="11">
        <v>0</v>
      </c>
      <c r="M34" s="11">
        <v>0</v>
      </c>
      <c r="N34" s="11">
        <v>1000</v>
      </c>
      <c r="O34" s="11">
        <v>0</v>
      </c>
      <c r="P34" s="16">
        <f>H34+J34+L34+N34</f>
        <v>2000</v>
      </c>
      <c r="Q34" s="16">
        <f>I34+K34+M34+O34</f>
        <v>1000</v>
      </c>
    </row>
    <row r="35" spans="2:17" ht="16">
      <c r="B35" s="57" t="s">
        <v>29</v>
      </c>
      <c r="C35" s="57"/>
      <c r="D35" s="13">
        <v>1</v>
      </c>
      <c r="E35" s="13">
        <v>50</v>
      </c>
      <c r="F35" s="10">
        <v>20</v>
      </c>
      <c r="G35" s="10">
        <f t="shared" si="4"/>
        <v>1000</v>
      </c>
      <c r="H35" s="16">
        <v>500</v>
      </c>
      <c r="I35" s="77">
        <v>500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f>H35+J35+L35+N35</f>
        <v>500</v>
      </c>
      <c r="Q35" s="16">
        <f>I35+K35+M35+O35</f>
        <v>500</v>
      </c>
    </row>
    <row r="36" spans="2:17" ht="16">
      <c r="B36" s="57" t="s">
        <v>30</v>
      </c>
      <c r="C36" s="57"/>
      <c r="D36" s="13">
        <v>1</v>
      </c>
      <c r="E36" s="13">
        <v>400</v>
      </c>
      <c r="F36" s="10">
        <v>5</v>
      </c>
      <c r="G36" s="10">
        <f t="shared" si="4"/>
        <v>2000</v>
      </c>
      <c r="H36" s="16">
        <v>0</v>
      </c>
      <c r="I36" s="79">
        <v>0</v>
      </c>
      <c r="J36" s="16">
        <v>0</v>
      </c>
      <c r="K36" s="16">
        <v>0</v>
      </c>
      <c r="L36" s="16">
        <v>0</v>
      </c>
      <c r="M36" s="16">
        <v>0</v>
      </c>
      <c r="N36" s="16">
        <f>G36</f>
        <v>2000</v>
      </c>
      <c r="O36" s="16">
        <v>0</v>
      </c>
      <c r="P36" s="16">
        <f>H36+J36+L36+N36</f>
        <v>2000</v>
      </c>
      <c r="Q36" s="16">
        <f>I36+K36+M36+O36</f>
        <v>0</v>
      </c>
    </row>
    <row r="37" spans="2:17" ht="16">
      <c r="B37" s="58" t="s">
        <v>31</v>
      </c>
      <c r="C37" s="58"/>
      <c r="D37" s="13">
        <v>1</v>
      </c>
      <c r="E37" s="13">
        <v>400</v>
      </c>
      <c r="F37" s="10">
        <v>2.5</v>
      </c>
      <c r="G37" s="10">
        <f t="shared" si="4"/>
        <v>1000</v>
      </c>
      <c r="H37" s="16">
        <v>1000</v>
      </c>
      <c r="I37" s="77">
        <v>1000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f>H37+J37+L37+N37</f>
        <v>1000</v>
      </c>
      <c r="Q37" s="16">
        <f>I37+K37+M37+O37</f>
        <v>1000</v>
      </c>
    </row>
    <row r="38" spans="2:17" ht="16">
      <c r="B38" s="57" t="s">
        <v>32</v>
      </c>
      <c r="C38" s="57"/>
      <c r="D38" s="13">
        <v>1</v>
      </c>
      <c r="E38" s="13">
        <v>1</v>
      </c>
      <c r="F38" s="10">
        <v>4000</v>
      </c>
      <c r="G38" s="10">
        <f t="shared" si="4"/>
        <v>4000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f>G38</f>
        <v>4000</v>
      </c>
      <c r="O38" s="16">
        <v>0</v>
      </c>
      <c r="P38" s="16">
        <f>H38+J38+L38+N38</f>
        <v>4000</v>
      </c>
      <c r="Q38" s="16">
        <f>I38+K38+M38+O38</f>
        <v>0</v>
      </c>
    </row>
    <row r="39" spans="2:17" ht="16">
      <c r="B39" s="57" t="s">
        <v>33</v>
      </c>
      <c r="C39" s="57"/>
      <c r="D39" s="13">
        <v>1</v>
      </c>
      <c r="E39" s="13">
        <v>400</v>
      </c>
      <c r="F39" s="10">
        <v>5</v>
      </c>
      <c r="G39" s="10">
        <f t="shared" si="4"/>
        <v>2000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f>G39</f>
        <v>2000</v>
      </c>
      <c r="O39" s="16">
        <v>0</v>
      </c>
      <c r="P39" s="16">
        <f>H39+J39+L39+N39</f>
        <v>2000</v>
      </c>
      <c r="Q39" s="16">
        <f>I39+K39+M39+O39</f>
        <v>0</v>
      </c>
    </row>
    <row r="40" spans="2:17" ht="16">
      <c r="B40" s="57" t="s">
        <v>34</v>
      </c>
      <c r="C40" s="57"/>
      <c r="D40" s="13">
        <v>1</v>
      </c>
      <c r="E40" s="13">
        <v>1</v>
      </c>
      <c r="F40" s="10">
        <v>9500</v>
      </c>
      <c r="G40" s="10">
        <v>9500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f>H40+J40+L40+N40</f>
        <v>0</v>
      </c>
      <c r="Q40" s="16">
        <f>I40+K40+M40+O40</f>
        <v>0</v>
      </c>
    </row>
    <row r="41" spans="2:17" ht="16">
      <c r="B41" s="59" t="s">
        <v>12</v>
      </c>
      <c r="C41" s="59"/>
      <c r="D41" s="22"/>
      <c r="E41" s="22"/>
      <c r="F41" s="23"/>
      <c r="G41" s="23">
        <f t="shared" ref="G41:O41" si="5">SUM(G33:G40)</f>
        <v>22500</v>
      </c>
      <c r="H41" s="12">
        <f t="shared" si="5"/>
        <v>2500</v>
      </c>
      <c r="I41" s="12">
        <f t="shared" si="5"/>
        <v>2500</v>
      </c>
      <c r="J41" s="12">
        <f t="shared" si="5"/>
        <v>0</v>
      </c>
      <c r="K41" s="12">
        <f t="shared" si="5"/>
        <v>0</v>
      </c>
      <c r="L41" s="12">
        <f t="shared" si="5"/>
        <v>0</v>
      </c>
      <c r="M41" s="12">
        <f t="shared" si="5"/>
        <v>0</v>
      </c>
      <c r="N41" s="12">
        <f t="shared" si="5"/>
        <v>10000</v>
      </c>
      <c r="O41" s="12">
        <f t="shared" si="5"/>
        <v>0</v>
      </c>
      <c r="P41" s="12">
        <f>SUM(P33:P40)</f>
        <v>12500</v>
      </c>
      <c r="Q41" s="12">
        <f>SUM(Q33:Q40)</f>
        <v>2500</v>
      </c>
    </row>
    <row r="42" spans="2:17" ht="16">
      <c r="B42" s="24"/>
      <c r="C42" s="1"/>
      <c r="D42" s="1"/>
      <c r="E42" s="1"/>
      <c r="F42" s="25"/>
      <c r="G42" s="25"/>
      <c r="H42" s="21"/>
      <c r="I42" s="21"/>
      <c r="J42" s="21"/>
      <c r="K42" s="21"/>
      <c r="L42" s="21"/>
      <c r="M42" s="21"/>
      <c r="N42" s="21"/>
      <c r="O42" s="21"/>
    </row>
    <row r="43" spans="2:17" ht="16" customHeight="1">
      <c r="B43" s="56" t="s">
        <v>35</v>
      </c>
      <c r="C43" s="56"/>
      <c r="D43" s="53" t="s">
        <v>2</v>
      </c>
      <c r="E43" s="53" t="s">
        <v>3</v>
      </c>
      <c r="F43" s="53" t="s">
        <v>4</v>
      </c>
      <c r="G43" s="54" t="s">
        <v>51</v>
      </c>
      <c r="H43" s="66" t="s">
        <v>6</v>
      </c>
      <c r="I43" s="67"/>
      <c r="J43" s="66" t="s">
        <v>45</v>
      </c>
      <c r="K43" s="67"/>
      <c r="L43" s="66" t="s">
        <v>46</v>
      </c>
      <c r="M43" s="67"/>
      <c r="N43" s="66" t="s">
        <v>44</v>
      </c>
      <c r="O43" s="68"/>
      <c r="P43" s="54" t="s">
        <v>53</v>
      </c>
      <c r="Q43" s="54" t="s">
        <v>52</v>
      </c>
    </row>
    <row r="44" spans="2:17" ht="16">
      <c r="B44" s="56" t="s">
        <v>1</v>
      </c>
      <c r="C44" s="56"/>
      <c r="D44" s="53"/>
      <c r="E44" s="53"/>
      <c r="F44" s="53"/>
      <c r="G44" s="55"/>
      <c r="H44" s="6" t="s">
        <v>49</v>
      </c>
      <c r="I44" s="6" t="s">
        <v>50</v>
      </c>
      <c r="J44" s="6" t="s">
        <v>49</v>
      </c>
      <c r="K44" s="6" t="s">
        <v>50</v>
      </c>
      <c r="L44" s="6" t="s">
        <v>49</v>
      </c>
      <c r="M44" s="6" t="s">
        <v>50</v>
      </c>
      <c r="N44" s="6" t="s">
        <v>49</v>
      </c>
      <c r="O44" s="6" t="s">
        <v>50</v>
      </c>
      <c r="P44" s="55"/>
      <c r="Q44" s="55"/>
    </row>
    <row r="45" spans="2:17" ht="16">
      <c r="B45" s="26" t="s">
        <v>36</v>
      </c>
      <c r="C45" s="27"/>
      <c r="D45" s="8">
        <v>1</v>
      </c>
      <c r="E45" s="8">
        <v>400</v>
      </c>
      <c r="F45" s="9">
        <v>18</v>
      </c>
      <c r="G45" s="9">
        <f>F45*E45*D45</f>
        <v>7200</v>
      </c>
      <c r="H45" s="11">
        <v>5940</v>
      </c>
      <c r="I45" s="78">
        <v>5940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6">
        <f>H45+J45+L45+N45</f>
        <v>5940</v>
      </c>
      <c r="Q45" s="16">
        <f>I45+K45+M45+O45</f>
        <v>5940</v>
      </c>
    </row>
    <row r="46" spans="2:17" ht="16">
      <c r="B46" s="49" t="s">
        <v>37</v>
      </c>
      <c r="C46" s="50"/>
      <c r="D46" s="8">
        <v>1</v>
      </c>
      <c r="E46" s="8">
        <v>400</v>
      </c>
      <c r="F46" s="9">
        <v>22.5</v>
      </c>
      <c r="G46" s="9">
        <f>F46*E46*D46</f>
        <v>9000</v>
      </c>
      <c r="H46" s="11">
        <v>7425</v>
      </c>
      <c r="I46" s="78">
        <v>7425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6">
        <f>H46+J46+L46+N46</f>
        <v>7425</v>
      </c>
      <c r="Q46" s="16">
        <f>I46+K46+M46+O46</f>
        <v>7425</v>
      </c>
    </row>
    <row r="47" spans="2:17" ht="16">
      <c r="B47" s="49" t="s">
        <v>47</v>
      </c>
      <c r="C47" s="50"/>
      <c r="D47" s="8">
        <v>1</v>
      </c>
      <c r="E47" s="8">
        <v>1</v>
      </c>
      <c r="F47" s="9">
        <v>5000</v>
      </c>
      <c r="G47" s="9">
        <v>5000</v>
      </c>
      <c r="H47" s="11">
        <v>0</v>
      </c>
      <c r="I47" s="80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6">
        <f>H47+J47+L47+N47</f>
        <v>0</v>
      </c>
      <c r="Q47" s="16">
        <f>I47+K47+M47+O47</f>
        <v>0</v>
      </c>
    </row>
    <row r="48" spans="2:17" ht="16">
      <c r="B48" s="49" t="s">
        <v>48</v>
      </c>
      <c r="C48" s="50"/>
      <c r="D48" s="8">
        <v>1</v>
      </c>
      <c r="E48" s="8">
        <v>1</v>
      </c>
      <c r="F48" s="9">
        <v>9000</v>
      </c>
      <c r="G48" s="9">
        <f>F48*E48*D48</f>
        <v>9000</v>
      </c>
      <c r="H48" s="11">
        <v>9000</v>
      </c>
      <c r="I48" s="78">
        <v>9000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6">
        <f>H48+J48+L48+N48</f>
        <v>9000</v>
      </c>
      <c r="Q48" s="16">
        <f>I48+K48+M48+O48</f>
        <v>9000</v>
      </c>
    </row>
    <row r="49" spans="2:17" ht="16">
      <c r="B49" s="51" t="s">
        <v>12</v>
      </c>
      <c r="C49" s="52"/>
      <c r="D49" s="17"/>
      <c r="E49" s="17"/>
      <c r="F49" s="18"/>
      <c r="G49" s="18">
        <f t="shared" ref="G49:Q49" si="6">SUM(G45:G48)</f>
        <v>30200</v>
      </c>
      <c r="H49" s="12">
        <f t="shared" si="6"/>
        <v>22365</v>
      </c>
      <c r="I49" s="12">
        <f t="shared" si="6"/>
        <v>22365</v>
      </c>
      <c r="J49" s="12">
        <f t="shared" si="6"/>
        <v>0</v>
      </c>
      <c r="K49" s="12">
        <f t="shared" si="6"/>
        <v>0</v>
      </c>
      <c r="L49" s="12">
        <f t="shared" si="6"/>
        <v>0</v>
      </c>
      <c r="M49" s="12">
        <f t="shared" si="6"/>
        <v>0</v>
      </c>
      <c r="N49" s="12">
        <f t="shared" si="6"/>
        <v>0</v>
      </c>
      <c r="O49" s="12">
        <f t="shared" si="6"/>
        <v>0</v>
      </c>
      <c r="P49" s="12">
        <f t="shared" si="6"/>
        <v>22365</v>
      </c>
      <c r="Q49" s="12">
        <f t="shared" si="6"/>
        <v>22365</v>
      </c>
    </row>
    <row r="50" spans="2:17" ht="16">
      <c r="B50" s="24"/>
      <c r="C50" s="1"/>
      <c r="D50" s="1"/>
      <c r="E50" s="1"/>
      <c r="F50" s="25"/>
      <c r="G50" s="25"/>
      <c r="H50" s="21"/>
      <c r="I50" s="21"/>
      <c r="J50" s="21"/>
      <c r="K50" s="21"/>
      <c r="L50" s="21"/>
      <c r="M50" s="21"/>
      <c r="N50" s="21"/>
      <c r="O50" s="21"/>
    </row>
    <row r="51" spans="2:17" ht="16" customHeight="1">
      <c r="B51" s="56" t="s">
        <v>38</v>
      </c>
      <c r="C51" s="56"/>
      <c r="D51" s="53" t="s">
        <v>2</v>
      </c>
      <c r="E51" s="53" t="s">
        <v>3</v>
      </c>
      <c r="F51" s="53" t="s">
        <v>4</v>
      </c>
      <c r="G51" s="54" t="s">
        <v>51</v>
      </c>
      <c r="H51" s="66" t="s">
        <v>6</v>
      </c>
      <c r="I51" s="67"/>
      <c r="J51" s="66" t="s">
        <v>45</v>
      </c>
      <c r="K51" s="67"/>
      <c r="L51" s="66" t="s">
        <v>46</v>
      </c>
      <c r="M51" s="67"/>
      <c r="N51" s="66" t="s">
        <v>44</v>
      </c>
      <c r="O51" s="68"/>
      <c r="P51" s="54" t="s">
        <v>53</v>
      </c>
      <c r="Q51" s="54" t="s">
        <v>52</v>
      </c>
    </row>
    <row r="52" spans="2:17" s="7" customFormat="1" ht="16">
      <c r="B52" s="56" t="s">
        <v>1</v>
      </c>
      <c r="C52" s="56"/>
      <c r="D52" s="53"/>
      <c r="E52" s="53"/>
      <c r="F52" s="53"/>
      <c r="G52" s="55"/>
      <c r="H52" s="6" t="s">
        <v>49</v>
      </c>
      <c r="I52" s="6" t="s">
        <v>50</v>
      </c>
      <c r="J52" s="6" t="s">
        <v>49</v>
      </c>
      <c r="K52" s="6" t="s">
        <v>50</v>
      </c>
      <c r="L52" s="6" t="s">
        <v>49</v>
      </c>
      <c r="M52" s="6" t="s">
        <v>50</v>
      </c>
      <c r="N52" s="6" t="s">
        <v>49</v>
      </c>
      <c r="O52" s="6" t="s">
        <v>50</v>
      </c>
      <c r="P52" s="55"/>
      <c r="Q52" s="55"/>
    </row>
    <row r="53" spans="2:17" ht="16">
      <c r="B53" s="49" t="s">
        <v>39</v>
      </c>
      <c r="C53" s="50"/>
      <c r="D53" s="8">
        <v>8</v>
      </c>
      <c r="E53" s="8">
        <v>250</v>
      </c>
      <c r="F53" s="9">
        <v>16</v>
      </c>
      <c r="G53" s="9">
        <f>F53*E53*D53</f>
        <v>32000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6">
        <f>H53+J53+L53+N53</f>
        <v>0</v>
      </c>
      <c r="Q53" s="16">
        <f>I53+K53+M53+O53</f>
        <v>0</v>
      </c>
    </row>
    <row r="54" spans="2:17" ht="16">
      <c r="B54" s="49" t="s">
        <v>54</v>
      </c>
      <c r="C54" s="50"/>
      <c r="D54" s="8">
        <v>1</v>
      </c>
      <c r="E54" s="8">
        <v>200</v>
      </c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6"/>
      <c r="Q54" s="16"/>
    </row>
    <row r="55" spans="2:17" ht="16">
      <c r="B55" s="49" t="s">
        <v>40</v>
      </c>
      <c r="C55" s="50"/>
      <c r="D55" s="8">
        <v>1</v>
      </c>
      <c r="E55" s="8">
        <v>200</v>
      </c>
      <c r="F55" s="9">
        <v>66</v>
      </c>
      <c r="G55" s="9">
        <f>F55*E55*D55</f>
        <v>13200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6">
        <f>H55+J55+L55+N55</f>
        <v>0</v>
      </c>
      <c r="Q55" s="16">
        <f>I55+K55+M55+O55</f>
        <v>0</v>
      </c>
    </row>
    <row r="56" spans="2:17" ht="16">
      <c r="B56" s="51" t="s">
        <v>12</v>
      </c>
      <c r="C56" s="52"/>
      <c r="D56" s="17"/>
      <c r="E56" s="17"/>
      <c r="F56" s="18"/>
      <c r="G56" s="18">
        <f t="shared" ref="G56:Q56" si="7">SUM(G53:G55)</f>
        <v>45200</v>
      </c>
      <c r="H56" s="12">
        <f t="shared" si="7"/>
        <v>0</v>
      </c>
      <c r="I56" s="12">
        <f t="shared" si="7"/>
        <v>0</v>
      </c>
      <c r="J56" s="12">
        <f t="shared" si="7"/>
        <v>0</v>
      </c>
      <c r="K56" s="12">
        <f t="shared" si="7"/>
        <v>0</v>
      </c>
      <c r="L56" s="12">
        <f t="shared" si="7"/>
        <v>0</v>
      </c>
      <c r="M56" s="12">
        <f t="shared" si="7"/>
        <v>0</v>
      </c>
      <c r="N56" s="12">
        <f t="shared" si="7"/>
        <v>0</v>
      </c>
      <c r="O56" s="12">
        <f t="shared" si="7"/>
        <v>0</v>
      </c>
      <c r="P56" s="12">
        <f t="shared" si="7"/>
        <v>0</v>
      </c>
      <c r="Q56" s="12">
        <f t="shared" si="7"/>
        <v>0</v>
      </c>
    </row>
    <row r="57" spans="2:17" ht="16">
      <c r="B57" s="2"/>
      <c r="C57" s="2"/>
      <c r="D57" s="2"/>
      <c r="E57" s="2"/>
      <c r="F57" s="3"/>
      <c r="G57" s="3"/>
      <c r="H57" s="21"/>
      <c r="I57" s="21"/>
      <c r="J57" s="21"/>
      <c r="K57" s="21"/>
      <c r="L57" s="21"/>
      <c r="M57" s="21"/>
      <c r="N57" s="21"/>
      <c r="O57" s="21"/>
    </row>
    <row r="58" spans="2:17" ht="16">
      <c r="B58" s="70" t="s">
        <v>41</v>
      </c>
      <c r="C58" s="70"/>
      <c r="D58" s="70"/>
      <c r="E58" s="70"/>
      <c r="F58" s="70"/>
      <c r="G58" s="18">
        <f>G9+G18+G29+G41+G49+G56</f>
        <v>218194.32</v>
      </c>
      <c r="H58" s="12">
        <f t="shared" ref="H58:O58" si="8">SUM(H9,H18,H29,H41,H49,H56)</f>
        <v>30365</v>
      </c>
      <c r="I58" s="12">
        <f t="shared" si="8"/>
        <v>30365</v>
      </c>
      <c r="J58" s="12">
        <f t="shared" si="8"/>
        <v>0</v>
      </c>
      <c r="K58" s="12">
        <f t="shared" si="8"/>
        <v>0</v>
      </c>
      <c r="L58" s="12">
        <f t="shared" si="8"/>
        <v>0</v>
      </c>
      <c r="M58" s="12">
        <f t="shared" si="8"/>
        <v>0</v>
      </c>
      <c r="N58" s="12">
        <f t="shared" si="8"/>
        <v>89461.119999999995</v>
      </c>
      <c r="O58" s="12">
        <f t="shared" si="8"/>
        <v>0</v>
      </c>
      <c r="P58" s="12">
        <f>SUM(H58,J58,L58,N58)</f>
        <v>119826.12</v>
      </c>
      <c r="Q58" s="12">
        <f>SUM(I58,K58,M58,O58)</f>
        <v>30365</v>
      </c>
    </row>
    <row r="59" spans="2:17">
      <c r="B59" s="28"/>
      <c r="C59" s="28"/>
      <c r="D59" s="28"/>
      <c r="E59" s="28"/>
      <c r="F59" s="28"/>
      <c r="G59" s="28"/>
    </row>
    <row r="61" spans="2:17" ht="22" customHeight="1">
      <c r="B61" s="71" t="s">
        <v>1</v>
      </c>
      <c r="C61" s="72"/>
      <c r="D61" s="72"/>
      <c r="E61" s="72"/>
      <c r="F61" s="73"/>
      <c r="G61" s="62" t="s">
        <v>5</v>
      </c>
      <c r="H61" s="64" t="s">
        <v>6</v>
      </c>
      <c r="I61" s="65"/>
      <c r="J61" s="64" t="s">
        <v>45</v>
      </c>
      <c r="K61" s="65"/>
      <c r="L61" s="64" t="s">
        <v>46</v>
      </c>
      <c r="M61" s="65"/>
      <c r="N61" s="64" t="s">
        <v>44</v>
      </c>
      <c r="O61" s="65"/>
      <c r="P61" s="54" t="s">
        <v>53</v>
      </c>
      <c r="Q61" s="54" t="s">
        <v>52</v>
      </c>
    </row>
    <row r="62" spans="2:17" ht="16">
      <c r="B62" s="74"/>
      <c r="C62" s="75"/>
      <c r="D62" s="75"/>
      <c r="E62" s="75"/>
      <c r="F62" s="76"/>
      <c r="G62" s="63"/>
      <c r="H62" s="6" t="s">
        <v>49</v>
      </c>
      <c r="I62" s="6" t="s">
        <v>50</v>
      </c>
      <c r="J62" s="6" t="s">
        <v>49</v>
      </c>
      <c r="K62" s="6" t="s">
        <v>50</v>
      </c>
      <c r="L62" s="6" t="s">
        <v>49</v>
      </c>
      <c r="M62" s="6" t="s">
        <v>50</v>
      </c>
      <c r="N62" s="6" t="s">
        <v>49</v>
      </c>
      <c r="O62" s="6" t="s">
        <v>50</v>
      </c>
      <c r="P62" s="55"/>
      <c r="Q62" s="55"/>
    </row>
    <row r="63" spans="2:17" ht="16">
      <c r="B63" s="38" t="s">
        <v>0</v>
      </c>
      <c r="C63" s="38"/>
      <c r="D63" s="38"/>
      <c r="E63" s="38"/>
      <c r="F63" s="38"/>
      <c r="G63" s="9">
        <f t="shared" ref="G63:O63" si="9">G9</f>
        <v>41000</v>
      </c>
      <c r="H63" s="16">
        <f t="shared" si="9"/>
        <v>0</v>
      </c>
      <c r="I63" s="16">
        <f t="shared" si="9"/>
        <v>0</v>
      </c>
      <c r="J63" s="16">
        <f t="shared" si="9"/>
        <v>0</v>
      </c>
      <c r="K63" s="16">
        <f t="shared" si="9"/>
        <v>0</v>
      </c>
      <c r="L63" s="16">
        <f t="shared" si="9"/>
        <v>0</v>
      </c>
      <c r="M63" s="16">
        <f t="shared" si="9"/>
        <v>0</v>
      </c>
      <c r="N63" s="16">
        <f t="shared" si="9"/>
        <v>23000</v>
      </c>
      <c r="O63" s="16">
        <f t="shared" si="9"/>
        <v>0</v>
      </c>
      <c r="P63" s="16">
        <f>H63+J63+L63+N63</f>
        <v>23000</v>
      </c>
      <c r="Q63" s="32">
        <f>I63+K63+M63+O63</f>
        <v>0</v>
      </c>
    </row>
    <row r="64" spans="2:17" ht="16">
      <c r="B64" s="48" t="s">
        <v>13</v>
      </c>
      <c r="C64" s="48"/>
      <c r="D64" s="48"/>
      <c r="E64" s="48"/>
      <c r="F64" s="48"/>
      <c r="G64" s="9">
        <f>G18</f>
        <v>19534.320000000003</v>
      </c>
      <c r="H64" s="16">
        <f t="shared" ref="H64:O64" si="10">H10</f>
        <v>0</v>
      </c>
      <c r="I64" s="16">
        <f t="shared" si="10"/>
        <v>0</v>
      </c>
      <c r="J64" s="16">
        <f t="shared" si="10"/>
        <v>0</v>
      </c>
      <c r="K64" s="16">
        <f t="shared" si="10"/>
        <v>0</v>
      </c>
      <c r="L64" s="16">
        <f t="shared" si="10"/>
        <v>0</v>
      </c>
      <c r="M64" s="16">
        <f t="shared" si="10"/>
        <v>0</v>
      </c>
      <c r="N64" s="16">
        <f t="shared" si="10"/>
        <v>0</v>
      </c>
      <c r="O64" s="16">
        <f t="shared" si="10"/>
        <v>0</v>
      </c>
      <c r="P64" s="16">
        <f>H64+J64+L64+N64</f>
        <v>0</v>
      </c>
      <c r="Q64" s="32">
        <f>I64+K64+M64+O64</f>
        <v>0</v>
      </c>
    </row>
    <row r="65" spans="2:17" ht="16">
      <c r="B65" s="38" t="s">
        <v>18</v>
      </c>
      <c r="C65" s="38"/>
      <c r="D65" s="38"/>
      <c r="E65" s="38"/>
      <c r="F65" s="38"/>
      <c r="G65" s="9">
        <f t="shared" ref="G65:O65" si="11">G29</f>
        <v>59760</v>
      </c>
      <c r="H65" s="16">
        <f t="shared" si="11"/>
        <v>5500</v>
      </c>
      <c r="I65" s="77">
        <f t="shared" si="11"/>
        <v>5500</v>
      </c>
      <c r="J65" s="16">
        <f t="shared" si="11"/>
        <v>0</v>
      </c>
      <c r="K65" s="16">
        <f t="shared" si="11"/>
        <v>0</v>
      </c>
      <c r="L65" s="16">
        <f t="shared" si="11"/>
        <v>0</v>
      </c>
      <c r="M65" s="16">
        <f t="shared" si="11"/>
        <v>0</v>
      </c>
      <c r="N65" s="16">
        <f t="shared" si="11"/>
        <v>44440</v>
      </c>
      <c r="O65" s="16">
        <f t="shared" si="11"/>
        <v>0</v>
      </c>
      <c r="P65" s="16">
        <f>H65+J65+L65+N65</f>
        <v>49940</v>
      </c>
      <c r="Q65" s="32">
        <f>I65+K65+M65+O65</f>
        <v>5500</v>
      </c>
    </row>
    <row r="66" spans="2:17" ht="16">
      <c r="B66" s="38" t="s">
        <v>26</v>
      </c>
      <c r="C66" s="38"/>
      <c r="D66" s="38"/>
      <c r="E66" s="38"/>
      <c r="F66" s="38"/>
      <c r="G66" s="10">
        <f t="shared" ref="G66:O66" si="12">G41</f>
        <v>22500</v>
      </c>
      <c r="H66" s="16">
        <f t="shared" si="12"/>
        <v>2500</v>
      </c>
      <c r="I66" s="77">
        <f t="shared" si="12"/>
        <v>2500</v>
      </c>
      <c r="J66" s="16">
        <f t="shared" si="12"/>
        <v>0</v>
      </c>
      <c r="K66" s="16">
        <f t="shared" si="12"/>
        <v>0</v>
      </c>
      <c r="L66" s="16">
        <f t="shared" si="12"/>
        <v>0</v>
      </c>
      <c r="M66" s="16">
        <f t="shared" si="12"/>
        <v>0</v>
      </c>
      <c r="N66" s="16">
        <f t="shared" si="12"/>
        <v>10000</v>
      </c>
      <c r="O66" s="16">
        <f t="shared" si="12"/>
        <v>0</v>
      </c>
      <c r="P66" s="16">
        <f>H66+J66+L66+N66</f>
        <v>12500</v>
      </c>
      <c r="Q66" s="32">
        <f>I66+K66+M66+O66</f>
        <v>2500</v>
      </c>
    </row>
    <row r="67" spans="2:17" s="2" customFormat="1" ht="16">
      <c r="B67" s="38" t="s">
        <v>42</v>
      </c>
      <c r="C67" s="38"/>
      <c r="D67" s="38"/>
      <c r="E67" s="38"/>
      <c r="F67" s="38"/>
      <c r="G67" s="10">
        <f t="shared" ref="G67:O67" si="13">G49</f>
        <v>30200</v>
      </c>
      <c r="H67" s="16">
        <f t="shared" si="13"/>
        <v>22365</v>
      </c>
      <c r="I67" s="77">
        <f t="shared" si="13"/>
        <v>22365</v>
      </c>
      <c r="J67" s="16">
        <f t="shared" si="13"/>
        <v>0</v>
      </c>
      <c r="K67" s="16">
        <f t="shared" si="13"/>
        <v>0</v>
      </c>
      <c r="L67" s="16">
        <f t="shared" si="13"/>
        <v>0</v>
      </c>
      <c r="M67" s="16">
        <f t="shared" si="13"/>
        <v>0</v>
      </c>
      <c r="N67" s="16">
        <f t="shared" si="13"/>
        <v>0</v>
      </c>
      <c r="O67" s="16">
        <f t="shared" si="13"/>
        <v>0</v>
      </c>
      <c r="P67" s="16">
        <f>H67+J67+L67+N67</f>
        <v>22365</v>
      </c>
      <c r="Q67" s="32">
        <f>I67+K67+M67+O67</f>
        <v>22365</v>
      </c>
    </row>
    <row r="68" spans="2:17" s="2" customFormat="1" ht="16">
      <c r="B68" s="38" t="s">
        <v>38</v>
      </c>
      <c r="C68" s="38"/>
      <c r="D68" s="38"/>
      <c r="E68" s="38"/>
      <c r="F68" s="38"/>
      <c r="G68" s="9">
        <f t="shared" ref="G68:O68" si="14">G56</f>
        <v>45200</v>
      </c>
      <c r="H68" s="16">
        <f t="shared" si="14"/>
        <v>0</v>
      </c>
      <c r="I68" s="16">
        <f t="shared" si="14"/>
        <v>0</v>
      </c>
      <c r="J68" s="16">
        <f t="shared" si="14"/>
        <v>0</v>
      </c>
      <c r="K68" s="16">
        <f t="shared" si="14"/>
        <v>0</v>
      </c>
      <c r="L68" s="16">
        <f t="shared" si="14"/>
        <v>0</v>
      </c>
      <c r="M68" s="16">
        <f t="shared" si="14"/>
        <v>0</v>
      </c>
      <c r="N68" s="16">
        <f t="shared" si="14"/>
        <v>0</v>
      </c>
      <c r="O68" s="16">
        <f t="shared" si="14"/>
        <v>0</v>
      </c>
      <c r="P68" s="16">
        <f>H68+J68+L68+N68</f>
        <v>0</v>
      </c>
      <c r="Q68" s="32">
        <f>J68+L68+N68+P68</f>
        <v>0</v>
      </c>
    </row>
    <row r="69" spans="2:17" ht="16">
      <c r="B69" s="69" t="s">
        <v>43</v>
      </c>
      <c r="C69" s="69"/>
      <c r="D69" s="69"/>
      <c r="E69" s="69"/>
      <c r="F69" s="69"/>
      <c r="G69" s="29">
        <f t="shared" ref="G69:O69" si="15">SUM(G63:G68)</f>
        <v>218194.32</v>
      </c>
      <c r="H69" s="29">
        <f t="shared" si="15"/>
        <v>30365</v>
      </c>
      <c r="I69" s="29">
        <f t="shared" si="15"/>
        <v>30365</v>
      </c>
      <c r="J69" s="29">
        <f t="shared" si="15"/>
        <v>0</v>
      </c>
      <c r="K69" s="29">
        <f t="shared" si="15"/>
        <v>0</v>
      </c>
      <c r="L69" s="29">
        <f t="shared" si="15"/>
        <v>0</v>
      </c>
      <c r="M69" s="29">
        <f t="shared" si="15"/>
        <v>0</v>
      </c>
      <c r="N69" s="29">
        <f t="shared" si="15"/>
        <v>77440</v>
      </c>
      <c r="O69" s="29">
        <f t="shared" si="15"/>
        <v>0</v>
      </c>
      <c r="P69" s="12">
        <f>SUM(P63:P68)</f>
        <v>107805</v>
      </c>
      <c r="Q69" s="12">
        <f>SUM(Q63:Q68)</f>
        <v>30365</v>
      </c>
    </row>
  </sheetData>
  <mergeCells count="125">
    <mergeCell ref="B54:C54"/>
    <mergeCell ref="G43:G44"/>
    <mergeCell ref="H43:I43"/>
    <mergeCell ref="J43:K43"/>
    <mergeCell ref="L43:M43"/>
    <mergeCell ref="N43:O43"/>
    <mergeCell ref="L20:M20"/>
    <mergeCell ref="N20:O20"/>
    <mergeCell ref="L11:M11"/>
    <mergeCell ref="N11:O11"/>
    <mergeCell ref="D31:D32"/>
    <mergeCell ref="E31:E32"/>
    <mergeCell ref="F31:F32"/>
    <mergeCell ref="G31:G32"/>
    <mergeCell ref="H31:I31"/>
    <mergeCell ref="J31:K31"/>
    <mergeCell ref="L31:M31"/>
    <mergeCell ref="N31:O31"/>
    <mergeCell ref="E20:E21"/>
    <mergeCell ref="F20:F21"/>
    <mergeCell ref="G20:G21"/>
    <mergeCell ref="H20:I20"/>
    <mergeCell ref="J20:K20"/>
    <mergeCell ref="B20:C20"/>
    <mergeCell ref="B31:C31"/>
    <mergeCell ref="B43:C43"/>
    <mergeCell ref="B51:C51"/>
    <mergeCell ref="D20:D21"/>
    <mergeCell ref="D43:D44"/>
    <mergeCell ref="D51:D52"/>
    <mergeCell ref="H11:I11"/>
    <mergeCell ref="J11:K11"/>
    <mergeCell ref="B11:C11"/>
    <mergeCell ref="B39:C39"/>
    <mergeCell ref="B40:C40"/>
    <mergeCell ref="B41:C41"/>
    <mergeCell ref="B44:C44"/>
    <mergeCell ref="B46:C46"/>
    <mergeCell ref="B48:C48"/>
    <mergeCell ref="B49:C49"/>
    <mergeCell ref="B52:C52"/>
    <mergeCell ref="B13:C13"/>
    <mergeCell ref="B14:C14"/>
    <mergeCell ref="B15:C15"/>
    <mergeCell ref="B16:C16"/>
    <mergeCell ref="B17:C17"/>
    <mergeCell ref="B18:C18"/>
    <mergeCell ref="B2:C2"/>
    <mergeCell ref="D11:D12"/>
    <mergeCell ref="E11:E12"/>
    <mergeCell ref="F11:F12"/>
    <mergeCell ref="G11:G12"/>
    <mergeCell ref="H2:I2"/>
    <mergeCell ref="J2:K2"/>
    <mergeCell ref="L2:M2"/>
    <mergeCell ref="N2:O2"/>
    <mergeCell ref="D2:D3"/>
    <mergeCell ref="E2:E3"/>
    <mergeCell ref="F2:F3"/>
    <mergeCell ref="G2:G3"/>
    <mergeCell ref="B8:C8"/>
    <mergeCell ref="B3:C3"/>
    <mergeCell ref="B4:C4"/>
    <mergeCell ref="B5:C5"/>
    <mergeCell ref="B6:C6"/>
    <mergeCell ref="B7:C7"/>
    <mergeCell ref="B9:C9"/>
    <mergeCell ref="B12:C12"/>
    <mergeCell ref="B68:F68"/>
    <mergeCell ref="B69:F69"/>
    <mergeCell ref="B63:F63"/>
    <mergeCell ref="B64:F64"/>
    <mergeCell ref="B65:F65"/>
    <mergeCell ref="B66:F66"/>
    <mergeCell ref="B67:F67"/>
    <mergeCell ref="B58:F58"/>
    <mergeCell ref="B61:F62"/>
    <mergeCell ref="B53:C53"/>
    <mergeCell ref="B55:C55"/>
    <mergeCell ref="B56:C56"/>
    <mergeCell ref="E43:E44"/>
    <mergeCell ref="F43:F44"/>
    <mergeCell ref="E51:E52"/>
    <mergeCell ref="F51:F52"/>
    <mergeCell ref="B21:C21"/>
    <mergeCell ref="B22:C22"/>
    <mergeCell ref="B23:C23"/>
    <mergeCell ref="B38:C38"/>
    <mergeCell ref="B25:C25"/>
    <mergeCell ref="B26:C26"/>
    <mergeCell ref="B27:C27"/>
    <mergeCell ref="B28:C28"/>
    <mergeCell ref="B29:C29"/>
    <mergeCell ref="B32:C32"/>
    <mergeCell ref="B33:C33"/>
    <mergeCell ref="B34:C34"/>
    <mergeCell ref="B35:C35"/>
    <mergeCell ref="B36:C36"/>
    <mergeCell ref="B37:C37"/>
    <mergeCell ref="B47:C47"/>
    <mergeCell ref="B24:C24"/>
    <mergeCell ref="G61:G62"/>
    <mergeCell ref="J61:K61"/>
    <mergeCell ref="L61:M61"/>
    <mergeCell ref="N61:O61"/>
    <mergeCell ref="Q2:Q3"/>
    <mergeCell ref="Q11:Q12"/>
    <mergeCell ref="Q20:Q21"/>
    <mergeCell ref="Q31:Q32"/>
    <mergeCell ref="Q43:Q44"/>
    <mergeCell ref="Q51:Q52"/>
    <mergeCell ref="H61:I61"/>
    <mergeCell ref="P61:P62"/>
    <mergeCell ref="Q61:Q62"/>
    <mergeCell ref="P51:P52"/>
    <mergeCell ref="P2:P3"/>
    <mergeCell ref="P11:P12"/>
    <mergeCell ref="P20:P21"/>
    <mergeCell ref="P31:P32"/>
    <mergeCell ref="P43:P44"/>
    <mergeCell ref="G51:G52"/>
    <mergeCell ref="H51:I51"/>
    <mergeCell ref="J51:K51"/>
    <mergeCell ref="L51:M51"/>
    <mergeCell ref="N51:O5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baseColWidth="10" defaultRowHeight="15" x14ac:dyDescent="0"/>
  <cols>
    <col min="2" max="2" width="54.5" customWidth="1"/>
    <col min="3" max="3" width="18.33203125" customWidth="1"/>
  </cols>
  <sheetData>
    <row r="1" spans="1:3" ht="16" customHeight="1">
      <c r="A1" s="56" t="s">
        <v>60</v>
      </c>
      <c r="B1" s="56"/>
      <c r="C1" s="35" t="s">
        <v>55</v>
      </c>
    </row>
    <row r="2" spans="1:3" ht="16">
      <c r="A2" s="60" t="s">
        <v>56</v>
      </c>
      <c r="B2" s="61"/>
      <c r="C2" s="36">
        <v>100000</v>
      </c>
    </row>
    <row r="3" spans="1:3" ht="16" customHeight="1">
      <c r="A3" s="60" t="s">
        <v>57</v>
      </c>
      <c r="B3" s="61"/>
      <c r="C3" s="36">
        <v>0</v>
      </c>
    </row>
    <row r="4" spans="1:3" ht="16">
      <c r="A4" s="60" t="s">
        <v>44</v>
      </c>
      <c r="B4" s="61"/>
      <c r="C4" s="36">
        <v>15000</v>
      </c>
    </row>
    <row r="5" spans="1:3" ht="16">
      <c r="A5" s="60" t="s">
        <v>45</v>
      </c>
      <c r="B5" s="61"/>
      <c r="C5" s="36">
        <v>45000</v>
      </c>
    </row>
    <row r="6" spans="1:3" ht="16">
      <c r="A6" s="60" t="s">
        <v>59</v>
      </c>
      <c r="B6" s="61"/>
      <c r="C6" s="36">
        <v>10000</v>
      </c>
    </row>
    <row r="7" spans="1:3" ht="16">
      <c r="A7" s="60" t="s">
        <v>58</v>
      </c>
      <c r="B7" s="61"/>
      <c r="C7" s="36">
        <v>29650</v>
      </c>
    </row>
    <row r="8" spans="1:3" ht="16">
      <c r="A8" s="51" t="s">
        <v>12</v>
      </c>
      <c r="B8" s="52"/>
      <c r="C8" s="37">
        <f>SUM(C2:C7)</f>
        <v>199650</v>
      </c>
    </row>
  </sheetData>
  <mergeCells count="8">
    <mergeCell ref="A7:B7"/>
    <mergeCell ref="A8:B8"/>
    <mergeCell ref="A1:B1"/>
    <mergeCell ref="A6:B6"/>
    <mergeCell ref="A2:B2"/>
    <mergeCell ref="A3:B3"/>
    <mergeCell ref="A4:B4"/>
    <mergeCell ref="A5:B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Simples</vt:lpstr>
      <vt:lpstr>Completa</vt:lpstr>
      <vt:lpstr>Receitas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2013-10-15T00:32:36Z</dcterms:modified>
</cp:coreProperties>
</file>