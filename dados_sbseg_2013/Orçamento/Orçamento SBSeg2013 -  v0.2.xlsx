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030"/>
  <workbookPr showInkAnnotation="0" autoCompressPictures="0"/>
  <bookViews>
    <workbookView xWindow="0" yWindow="0" windowWidth="25600" windowHeight="16020" tabRatio="500" activeTab="3"/>
  </bookViews>
  <sheets>
    <sheet name="Simples" sheetId="2" r:id="rId1"/>
    <sheet name="Completa" sheetId="1" r:id="rId2"/>
    <sheet name="Receitas" sheetId="3" r:id="rId3"/>
    <sheet name="Despesas" sheetId="4" r:id="rId4"/>
    <sheet name="Pagamentos" sheetId="5" r:id="rId5"/>
    <sheet name="Sheet2" sheetId="6" r:id="rId6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80" i="4" l="1"/>
  <c r="D80" i="4"/>
  <c r="G49" i="5"/>
  <c r="D7" i="3"/>
  <c r="E75" i="5"/>
  <c r="E76" i="5"/>
  <c r="E59" i="5"/>
  <c r="D60" i="5"/>
  <c r="E60" i="5"/>
  <c r="D61" i="5"/>
  <c r="E61" i="5"/>
  <c r="D62" i="5"/>
  <c r="E62" i="5"/>
  <c r="D63" i="5"/>
  <c r="E63" i="5"/>
  <c r="D64" i="5"/>
  <c r="E64" i="5"/>
  <c r="D65" i="5"/>
  <c r="E65" i="5"/>
  <c r="D66" i="5"/>
  <c r="E66" i="5"/>
  <c r="D67" i="5"/>
  <c r="E67" i="5"/>
  <c r="D68" i="5"/>
  <c r="E68" i="5"/>
  <c r="D69" i="5"/>
  <c r="E69" i="5"/>
  <c r="E70" i="5"/>
  <c r="E71" i="5"/>
  <c r="E72" i="5"/>
  <c r="E73" i="5"/>
  <c r="E74" i="5"/>
  <c r="E77" i="5"/>
  <c r="E78" i="5"/>
  <c r="E79" i="5"/>
  <c r="E80" i="5"/>
  <c r="E81" i="5"/>
  <c r="E3" i="5"/>
  <c r="E4" i="5"/>
  <c r="E5" i="5"/>
  <c r="E6" i="5"/>
  <c r="E7" i="5"/>
  <c r="E8" i="5"/>
  <c r="E9" i="5"/>
  <c r="E10" i="5"/>
  <c r="E11" i="5"/>
  <c r="E15" i="5"/>
  <c r="E16" i="5"/>
  <c r="D17" i="5"/>
  <c r="E17" i="5"/>
  <c r="E18" i="5"/>
  <c r="D19" i="5"/>
  <c r="E19" i="5"/>
  <c r="E20" i="5"/>
  <c r="E21" i="5"/>
  <c r="E22" i="5"/>
  <c r="E23" i="5"/>
  <c r="E24" i="5"/>
  <c r="E25" i="5"/>
  <c r="E26" i="5"/>
  <c r="E28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3" i="5"/>
  <c r="E54" i="5"/>
  <c r="E55" i="5"/>
  <c r="E83" i="5"/>
  <c r="D11" i="3"/>
  <c r="E85" i="5"/>
  <c r="F85" i="5"/>
  <c r="E56" i="4"/>
  <c r="E51" i="4"/>
  <c r="E79" i="4"/>
  <c r="C80" i="4"/>
  <c r="E78" i="4"/>
  <c r="E45" i="4"/>
  <c r="E46" i="4"/>
  <c r="E26" i="4"/>
  <c r="E25" i="4"/>
  <c r="E27" i="4"/>
  <c r="E24" i="4"/>
  <c r="E23" i="4"/>
  <c r="D37" i="4"/>
  <c r="D36" i="4"/>
  <c r="D35" i="4"/>
  <c r="D34" i="4"/>
  <c r="D33" i="4"/>
  <c r="D32" i="4"/>
  <c r="D31" i="4"/>
  <c r="D30" i="4"/>
  <c r="D29" i="4"/>
  <c r="D28" i="4"/>
  <c r="E28" i="4"/>
  <c r="E31" i="4"/>
  <c r="E29" i="4"/>
  <c r="E30" i="4"/>
  <c r="E32" i="4"/>
  <c r="E33" i="4"/>
  <c r="E34" i="4"/>
  <c r="E35" i="4"/>
  <c r="E36" i="4"/>
  <c r="E37" i="4"/>
  <c r="I38" i="4"/>
  <c r="E22" i="4"/>
  <c r="G28" i="5"/>
  <c r="E13" i="4"/>
  <c r="E14" i="4"/>
  <c r="E15" i="4"/>
  <c r="E16" i="4"/>
  <c r="E17" i="4"/>
  <c r="E62" i="4"/>
  <c r="G11" i="5"/>
  <c r="D7" i="4"/>
  <c r="D5" i="4"/>
  <c r="E69" i="4"/>
  <c r="E70" i="4"/>
  <c r="E58" i="4"/>
  <c r="E59" i="4"/>
  <c r="E57" i="4"/>
  <c r="E68" i="4"/>
  <c r="E43" i="4"/>
  <c r="E12" i="4"/>
  <c r="E42" i="4"/>
  <c r="E44" i="4"/>
  <c r="E61" i="4"/>
  <c r="E67" i="4"/>
  <c r="E66" i="4"/>
  <c r="E11" i="4"/>
  <c r="E10" i="4"/>
  <c r="E77" i="4"/>
  <c r="E76" i="4"/>
  <c r="E53" i="4"/>
  <c r="E54" i="4"/>
  <c r="E9" i="4"/>
  <c r="E41" i="4"/>
  <c r="E21" i="4"/>
  <c r="E7" i="4"/>
  <c r="E6" i="4"/>
  <c r="E8" i="4"/>
  <c r="E5" i="4"/>
  <c r="E4" i="4"/>
  <c r="E3" i="4"/>
  <c r="E2" i="4"/>
  <c r="E18" i="4"/>
  <c r="E48" i="4"/>
  <c r="E38" i="4"/>
  <c r="E52" i="4"/>
  <c r="E55" i="4"/>
  <c r="E63" i="4"/>
  <c r="E73" i="4"/>
  <c r="E82" i="4"/>
  <c r="C48" i="4"/>
  <c r="D48" i="4"/>
  <c r="C63" i="4"/>
  <c r="D73" i="4"/>
  <c r="C73" i="4"/>
  <c r="D63" i="4"/>
  <c r="D38" i="4"/>
  <c r="C38" i="4"/>
  <c r="C18" i="4"/>
  <c r="D18" i="4"/>
  <c r="H64" i="1"/>
  <c r="I64" i="1"/>
  <c r="J64" i="1"/>
  <c r="J7" i="1"/>
  <c r="N64" i="1"/>
  <c r="B11" i="3"/>
  <c r="F8" i="1"/>
  <c r="F7" i="1"/>
  <c r="F6" i="1"/>
  <c r="F5" i="1"/>
  <c r="E8" i="1"/>
  <c r="E7" i="1"/>
  <c r="E6" i="1"/>
  <c r="E5" i="1"/>
  <c r="E4" i="1"/>
  <c r="D8" i="1"/>
  <c r="D7" i="1"/>
  <c r="D6" i="1"/>
  <c r="D5" i="1"/>
  <c r="D4" i="1"/>
  <c r="P68" i="1"/>
  <c r="L49" i="1"/>
  <c r="L67" i="1"/>
  <c r="P67" i="1"/>
  <c r="G33" i="1"/>
  <c r="N33" i="1"/>
  <c r="G36" i="1"/>
  <c r="N36" i="1"/>
  <c r="G38" i="1"/>
  <c r="N38" i="1"/>
  <c r="G39" i="1"/>
  <c r="N39" i="1"/>
  <c r="N41" i="1"/>
  <c r="N66" i="1"/>
  <c r="L41" i="1"/>
  <c r="L66" i="1"/>
  <c r="J41" i="1"/>
  <c r="J66" i="1"/>
  <c r="P66" i="1"/>
  <c r="G25" i="1"/>
  <c r="N25" i="1"/>
  <c r="N29" i="1"/>
  <c r="N65" i="1"/>
  <c r="L29" i="1"/>
  <c r="L65" i="1"/>
  <c r="J29" i="1"/>
  <c r="J65" i="1"/>
  <c r="P65" i="1"/>
  <c r="P64" i="1"/>
  <c r="G4" i="1"/>
  <c r="G6" i="1"/>
  <c r="N6" i="1"/>
  <c r="G8" i="1"/>
  <c r="N8" i="1"/>
  <c r="N9" i="1"/>
  <c r="N63" i="1"/>
  <c r="J9" i="1"/>
  <c r="J63" i="1"/>
  <c r="P63" i="1"/>
  <c r="P55" i="1"/>
  <c r="P53" i="1"/>
  <c r="P69" i="1"/>
  <c r="Q68" i="1"/>
  <c r="Q64" i="1"/>
  <c r="M29" i="1"/>
  <c r="M65" i="1"/>
  <c r="K29" i="1"/>
  <c r="K65" i="1"/>
  <c r="Q65" i="1"/>
  <c r="M41" i="1"/>
  <c r="M66" i="1"/>
  <c r="Q66" i="1"/>
  <c r="M49" i="1"/>
  <c r="M67" i="1"/>
  <c r="Q67" i="1"/>
  <c r="O9" i="1"/>
  <c r="O63" i="1"/>
  <c r="K9" i="1"/>
  <c r="K63" i="1"/>
  <c r="Q63" i="1"/>
  <c r="Q69" i="1"/>
  <c r="P22" i="1"/>
  <c r="P23" i="1"/>
  <c r="P24" i="1"/>
  <c r="P25" i="1"/>
  <c r="P26" i="1"/>
  <c r="P27" i="1"/>
  <c r="P28" i="1"/>
  <c r="P29" i="1"/>
  <c r="Q22" i="1"/>
  <c r="Q23" i="1"/>
  <c r="Q24" i="1"/>
  <c r="Q25" i="1"/>
  <c r="Q26" i="1"/>
  <c r="Q27" i="1"/>
  <c r="Q28" i="1"/>
  <c r="Q29" i="1"/>
  <c r="Q33" i="1"/>
  <c r="Q34" i="1"/>
  <c r="Q35" i="1"/>
  <c r="Q36" i="1"/>
  <c r="Q37" i="1"/>
  <c r="Q38" i="1"/>
  <c r="Q39" i="1"/>
  <c r="Q40" i="1"/>
  <c r="Q41" i="1"/>
  <c r="P33" i="1"/>
  <c r="P34" i="1"/>
  <c r="P35" i="1"/>
  <c r="P36" i="1"/>
  <c r="P37" i="1"/>
  <c r="P38" i="1"/>
  <c r="P39" i="1"/>
  <c r="P40" i="1"/>
  <c r="P41" i="1"/>
  <c r="M58" i="1"/>
  <c r="K58" i="1"/>
  <c r="O58" i="1"/>
  <c r="Q58" i="1"/>
  <c r="N58" i="1"/>
  <c r="J18" i="1"/>
  <c r="J58" i="1"/>
  <c r="L58" i="1"/>
  <c r="P58" i="1"/>
  <c r="Q55" i="1"/>
  <c r="Q53" i="1"/>
  <c r="Q48" i="1"/>
  <c r="Q47" i="1"/>
  <c r="Q46" i="1"/>
  <c r="Q45" i="1"/>
  <c r="P48" i="1"/>
  <c r="P47" i="1"/>
  <c r="P46" i="1"/>
  <c r="P45" i="1"/>
  <c r="Q17" i="1"/>
  <c r="Q16" i="1"/>
  <c r="Q15" i="1"/>
  <c r="Q14" i="1"/>
  <c r="Q13" i="1"/>
  <c r="P17" i="1"/>
  <c r="P16" i="1"/>
  <c r="P15" i="1"/>
  <c r="P14" i="1"/>
  <c r="P13" i="1"/>
  <c r="P8" i="1"/>
  <c r="P7" i="1"/>
  <c r="P6" i="1"/>
  <c r="P5" i="1"/>
  <c r="Q8" i="1"/>
  <c r="Q7" i="1"/>
  <c r="Q6" i="1"/>
  <c r="Q5" i="1"/>
  <c r="Q4" i="1"/>
  <c r="P4" i="1"/>
  <c r="P9" i="1"/>
  <c r="P18" i="1"/>
  <c r="P49" i="1"/>
  <c r="P56" i="1"/>
  <c r="I9" i="1"/>
  <c r="I18" i="1"/>
  <c r="I29" i="1"/>
  <c r="I41" i="1"/>
  <c r="I49" i="1"/>
  <c r="I56" i="1"/>
  <c r="I58" i="1"/>
  <c r="K18" i="1"/>
  <c r="K41" i="1"/>
  <c r="K49" i="1"/>
  <c r="K56" i="1"/>
  <c r="M9" i="1"/>
  <c r="M18" i="1"/>
  <c r="M56" i="1"/>
  <c r="O18" i="1"/>
  <c r="O29" i="1"/>
  <c r="O41" i="1"/>
  <c r="O49" i="1"/>
  <c r="O56" i="1"/>
  <c r="I63" i="1"/>
  <c r="M63" i="1"/>
  <c r="K64" i="1"/>
  <c r="M64" i="1"/>
  <c r="O64" i="1"/>
  <c r="I65" i="1"/>
  <c r="O65" i="1"/>
  <c r="I66" i="1"/>
  <c r="K66" i="1"/>
  <c r="O66" i="1"/>
  <c r="I67" i="1"/>
  <c r="K67" i="1"/>
  <c r="O67" i="1"/>
  <c r="I68" i="1"/>
  <c r="K68" i="1"/>
  <c r="M68" i="1"/>
  <c r="O68" i="1"/>
  <c r="I69" i="1"/>
  <c r="K69" i="1"/>
  <c r="M69" i="1"/>
  <c r="O69" i="1"/>
  <c r="J49" i="1"/>
  <c r="J67" i="1"/>
  <c r="J56" i="1"/>
  <c r="J68" i="1"/>
  <c r="J69" i="1"/>
  <c r="L9" i="1"/>
  <c r="L63" i="1"/>
  <c r="L64" i="1"/>
  <c r="L56" i="1"/>
  <c r="L68" i="1"/>
  <c r="L69" i="1"/>
  <c r="G22" i="1"/>
  <c r="N22" i="1"/>
  <c r="N49" i="1"/>
  <c r="N67" i="1"/>
  <c r="N56" i="1"/>
  <c r="N68" i="1"/>
  <c r="N69" i="1"/>
  <c r="L18" i="1"/>
  <c r="G13" i="1"/>
  <c r="N13" i="1"/>
  <c r="G15" i="1"/>
  <c r="N15" i="1"/>
  <c r="G17" i="1"/>
  <c r="N17" i="1"/>
  <c r="N18" i="1"/>
  <c r="Q56" i="1"/>
  <c r="Q49" i="1"/>
  <c r="Q18" i="1"/>
  <c r="Q9" i="1"/>
  <c r="G4" i="2"/>
  <c r="G5" i="2"/>
  <c r="G6" i="2"/>
  <c r="G7" i="2"/>
  <c r="G8" i="2"/>
  <c r="G9" i="2"/>
  <c r="G13" i="2"/>
  <c r="G14" i="2"/>
  <c r="G15" i="2"/>
  <c r="G16" i="2"/>
  <c r="G17" i="2"/>
  <c r="G18" i="2"/>
  <c r="G22" i="2"/>
  <c r="G23" i="2"/>
  <c r="G24" i="2"/>
  <c r="G25" i="2"/>
  <c r="G26" i="2"/>
  <c r="G27" i="2"/>
  <c r="G28" i="2"/>
  <c r="G29" i="2"/>
  <c r="G33" i="2"/>
  <c r="G34" i="2"/>
  <c r="G35" i="2"/>
  <c r="G36" i="2"/>
  <c r="G37" i="2"/>
  <c r="G38" i="2"/>
  <c r="G39" i="2"/>
  <c r="G41" i="2"/>
  <c r="G45" i="2"/>
  <c r="G46" i="2"/>
  <c r="G48" i="2"/>
  <c r="G49" i="2"/>
  <c r="G53" i="2"/>
  <c r="G54" i="2"/>
  <c r="G55" i="2"/>
  <c r="G57" i="2"/>
  <c r="G61" i="2"/>
  <c r="G62" i="2"/>
  <c r="G63" i="2"/>
  <c r="G64" i="2"/>
  <c r="G65" i="2"/>
  <c r="G66" i="2"/>
  <c r="G67" i="2"/>
  <c r="G26" i="1"/>
  <c r="G5" i="1"/>
  <c r="G7" i="1"/>
  <c r="G9" i="1"/>
  <c r="H9" i="1"/>
  <c r="H63" i="1"/>
  <c r="H29" i="1"/>
  <c r="H65" i="1"/>
  <c r="H41" i="1"/>
  <c r="H66" i="1"/>
  <c r="H49" i="1"/>
  <c r="H67" i="1"/>
  <c r="H56" i="1"/>
  <c r="H68" i="1"/>
  <c r="H69" i="1"/>
  <c r="G63" i="1"/>
  <c r="G14" i="1"/>
  <c r="G16" i="1"/>
  <c r="G18" i="1"/>
  <c r="G64" i="1"/>
  <c r="G23" i="1"/>
  <c r="G24" i="1"/>
  <c r="G27" i="1"/>
  <c r="G28" i="1"/>
  <c r="G29" i="1"/>
  <c r="G65" i="1"/>
  <c r="G34" i="1"/>
  <c r="G35" i="1"/>
  <c r="G37" i="1"/>
  <c r="G41" i="1"/>
  <c r="G66" i="1"/>
  <c r="G45" i="1"/>
  <c r="G46" i="1"/>
  <c r="G48" i="1"/>
  <c r="G49" i="1"/>
  <c r="G67" i="1"/>
  <c r="G53" i="1"/>
  <c r="G55" i="1"/>
  <c r="G56" i="1"/>
  <c r="G68" i="1"/>
  <c r="G69" i="1"/>
  <c r="H18" i="1"/>
  <c r="H58" i="1"/>
  <c r="G58" i="1"/>
</calcChain>
</file>

<file path=xl/sharedStrings.xml><?xml version="1.0" encoding="utf-8"?>
<sst xmlns="http://schemas.openxmlformats.org/spreadsheetml/2006/main" count="749" uniqueCount="202">
  <si>
    <t>Passagens para palestrantes e/ou conferencistas</t>
  </si>
  <si>
    <t>Item</t>
  </si>
  <si>
    <t>Unid.</t>
  </si>
  <si>
    <t>Quant.</t>
  </si>
  <si>
    <t>vl. Unit.</t>
  </si>
  <si>
    <t>Total</t>
  </si>
  <si>
    <t>FAPEAM</t>
  </si>
  <si>
    <t>Palestrantes Internacionais (Econômica)</t>
  </si>
  <si>
    <t xml:space="preserve">Palestrantes Nacionais </t>
  </si>
  <si>
    <t>Apresentadores de Minicursos</t>
  </si>
  <si>
    <t>Coordenador de Comite de Programa</t>
  </si>
  <si>
    <t>Coordenadores de Workshop/Minicursos</t>
  </si>
  <si>
    <t>SubTotal</t>
  </si>
  <si>
    <t>Diárias para palestrantes e/ou conferencistas</t>
  </si>
  <si>
    <t>Palestrantes Internacionais</t>
  </si>
  <si>
    <t>Palestrantes Nacionais</t>
  </si>
  <si>
    <t>Coordenador do Comite de Programa</t>
  </si>
  <si>
    <t>Coordenadores de Workshop</t>
  </si>
  <si>
    <t>InfraEstrutura</t>
  </si>
  <si>
    <t>Locação do Centro de Eventos (salas)</t>
  </si>
  <si>
    <t>Locação de Projetores Multimidia</t>
  </si>
  <si>
    <t>Locação de Computadores para uso dos participantes</t>
  </si>
  <si>
    <t>Locação de InfraEstrutura de Redes</t>
  </si>
  <si>
    <t>Locação de Equipamentos de Áudio e Sonorização</t>
  </si>
  <si>
    <t>Transfer Hoteis</t>
  </si>
  <si>
    <t>Serviços de Tradução Simultânea</t>
  </si>
  <si>
    <t>Serviços de Impressão/divulgação</t>
  </si>
  <si>
    <t>Edição/Impressão de Programação Final</t>
  </si>
  <si>
    <t>Impressão de Cartazes</t>
  </si>
  <si>
    <t>Impressão de Faixas</t>
  </si>
  <si>
    <t>Impressão Material do MiniCursos</t>
  </si>
  <si>
    <t>Folder de Divulgação do Evento</t>
  </si>
  <si>
    <t>Editoração dos Anais</t>
  </si>
  <si>
    <t>Produção de Mídia</t>
  </si>
  <si>
    <t>Aquisição de Material de Consumo</t>
  </si>
  <si>
    <t>Serviços de Terceiros</t>
  </si>
  <si>
    <t>Confecção de Camisas</t>
  </si>
  <si>
    <t>Confecção de Pastas/bolsas</t>
  </si>
  <si>
    <t>Coffee-Break/Coquetel</t>
  </si>
  <si>
    <t>Coffe Break</t>
    <phoneticPr fontId="0" type="noConversion"/>
  </si>
  <si>
    <t>Coquetel de Abertura</t>
    <phoneticPr fontId="0" type="noConversion"/>
  </si>
  <si>
    <t xml:space="preserve">Total Geral </t>
  </si>
  <si>
    <t>Serviços de Terceiro</t>
  </si>
  <si>
    <t>Total Geral</t>
  </si>
  <si>
    <t>CNPq</t>
  </si>
  <si>
    <t>CAPES</t>
  </si>
  <si>
    <t>CGI-BR</t>
  </si>
  <si>
    <t>Outros Serviços de Terceiros (1)</t>
  </si>
  <si>
    <t>Outros Serviços de Terceiros (2)</t>
  </si>
  <si>
    <t>Solicitado</t>
  </si>
  <si>
    <t>Atendido</t>
  </si>
  <si>
    <t>Total Estimado</t>
  </si>
  <si>
    <t>Total Atendido</t>
  </si>
  <si>
    <t>Total Solicitado</t>
  </si>
  <si>
    <t>Jantar de Confraternização</t>
  </si>
  <si>
    <t>Valores</t>
  </si>
  <si>
    <t>Comitê Gestor Internet</t>
  </si>
  <si>
    <t xml:space="preserve">Inscrições </t>
  </si>
  <si>
    <t>FAPEAM (Fundação de Amparo a Pesquisa do Estado do Amazonas)</t>
  </si>
  <si>
    <t>Patrocínios</t>
  </si>
  <si>
    <t>Previsão</t>
  </si>
  <si>
    <t>Arrecadado</t>
  </si>
  <si>
    <t>RECEITAS SBSEG 2013</t>
  </si>
  <si>
    <t>START (Patrocínio)</t>
  </si>
  <si>
    <t>INTEL (Patrocínio)</t>
  </si>
  <si>
    <t xml:space="preserve">Passagens </t>
  </si>
  <si>
    <t>Valor Total</t>
  </si>
  <si>
    <t>Valor Unit.</t>
  </si>
  <si>
    <t>Fonte de Despesa</t>
  </si>
  <si>
    <t>FAPEAM/PAREV Feitosa</t>
  </si>
  <si>
    <t>Diárias/Hospedagem para palestrantes</t>
  </si>
  <si>
    <t>Empresa</t>
  </si>
  <si>
    <t>Reprox</t>
  </si>
  <si>
    <t xml:space="preserve">Studio 5 </t>
  </si>
  <si>
    <t>Matt Bishop - Palestrante Internacional</t>
  </si>
  <si>
    <t>Multicom</t>
  </si>
  <si>
    <t>400 ou 500</t>
  </si>
  <si>
    <t>Cracha precisa de arte</t>
  </si>
  <si>
    <t>Evandro Della Vecchia - Minicurso 1</t>
  </si>
  <si>
    <t>Marlon Domenech - Minicurso 4</t>
  </si>
  <si>
    <t>Edna Canedo - Coordenadora FSC</t>
  </si>
  <si>
    <t>Park Suites Manaus</t>
  </si>
  <si>
    <t>Paradise (TAM)</t>
  </si>
  <si>
    <t>Paradise (Azul)</t>
  </si>
  <si>
    <t>Paradise (Delta Air Lines)</t>
  </si>
  <si>
    <t>Cinthia Freitas - Coordenadora WFC</t>
  </si>
  <si>
    <t>Rossana Andrade - Coordenadora Minucursos</t>
  </si>
  <si>
    <t xml:space="preserve">Geovandro Pereira  - Minicurso 2 </t>
  </si>
  <si>
    <t>Paradise (GOL)</t>
  </si>
  <si>
    <t>Paradise (TAM + GOL)</t>
  </si>
  <si>
    <t>Raul Ceretta - Coordenador TP</t>
  </si>
  <si>
    <t>Locação do Centro de Eventos (5 salas)</t>
  </si>
  <si>
    <t>CNPQ</t>
  </si>
  <si>
    <t>Copycolor</t>
  </si>
  <si>
    <t>Willer Santos - Minicurso 3</t>
  </si>
  <si>
    <t>Rafael Timoteo Souza Junior</t>
  </si>
  <si>
    <t>Comitê Gestor Internet (Patrocínio)</t>
  </si>
  <si>
    <t>Inscrições</t>
  </si>
  <si>
    <t xml:space="preserve">Item de Despesa </t>
  </si>
  <si>
    <t>Passagem Aérea (Matt Bishop - Palestrante Internacional)</t>
  </si>
  <si>
    <t>Studio 5 Centro de Convenções</t>
  </si>
  <si>
    <t>Passagem Aérea (Evandro Della Vecchia - Minicurso 1)</t>
  </si>
  <si>
    <t>Passagem Aérea (Marlon Domenech - Minicurso 4)</t>
  </si>
  <si>
    <t>Passagem Aérea (Edna Canedo - Coordenadora FSC)</t>
  </si>
  <si>
    <t>Passagem Aérea (Cinthia Freitas - Coordenadora WFC)</t>
  </si>
  <si>
    <t>Passagem Aérea (Rossana Andrade - Coordenadora Minucursos)</t>
  </si>
  <si>
    <t>Passagem Aérea (Geovandro Pereira  - Minicurso 2)</t>
  </si>
  <si>
    <t>Passagem Aérea (Raul Ceretta - Coordenador TP)</t>
  </si>
  <si>
    <t>Passagem Aérea (Willer Santos - Minicurso 3)</t>
  </si>
  <si>
    <t>Passagem Aérea (Rafael Timoteo Souza Junior - Coordenador FSC)</t>
  </si>
  <si>
    <t>FAPEAM - SBSeg</t>
  </si>
  <si>
    <t>FAPEAM - WTICG</t>
  </si>
  <si>
    <t>Patrocínios + Inscrições</t>
  </si>
  <si>
    <t>Status</t>
  </si>
  <si>
    <t>PAGO</t>
  </si>
  <si>
    <t>Internext</t>
  </si>
  <si>
    <t>Em andamento</t>
  </si>
  <si>
    <t>FAPEAM/PAREV Eulanda</t>
  </si>
  <si>
    <t>Mark Design</t>
  </si>
  <si>
    <t>Zobessa Confecções</t>
  </si>
  <si>
    <t>CEGAM</t>
  </si>
  <si>
    <t>Amazon Print</t>
  </si>
  <si>
    <t>Jorge de A. Lambert - WFC e FSC</t>
  </si>
  <si>
    <t>Marcelo Caldeira Ruback - WFC e FSC</t>
  </si>
  <si>
    <t>Fabian Monrose - Palestra Internacional</t>
  </si>
  <si>
    <t>Paradise (Ameircan)</t>
  </si>
  <si>
    <t>Transfer Aeroporto/Hotel/Aeroporto</t>
  </si>
  <si>
    <t>EcoPapelaria</t>
  </si>
  <si>
    <t>Crachá (Papel)</t>
  </si>
  <si>
    <t>Crachá (Cordas)</t>
  </si>
  <si>
    <t xml:space="preserve"> </t>
  </si>
  <si>
    <t>Crachá</t>
  </si>
  <si>
    <t>Ecopapelaria</t>
  </si>
  <si>
    <t>Internet (5MB)</t>
  </si>
  <si>
    <t xml:space="preserve">Projetor </t>
  </si>
  <si>
    <t>Luiz Cláudio Gomes Gonçalves - FSC</t>
  </si>
  <si>
    <t>Otávio Carlos Cunha da Silva - FSC</t>
  </si>
  <si>
    <t>Michel Abdalla - Coordenador TP</t>
  </si>
  <si>
    <t>Anderson Nascimento - Coordenador Palestras</t>
  </si>
  <si>
    <t>Brindes</t>
  </si>
  <si>
    <t>Patrocinios</t>
  </si>
  <si>
    <t>Camisas</t>
  </si>
  <si>
    <t>CD dos Anais</t>
  </si>
  <si>
    <t>Cesart</t>
  </si>
  <si>
    <t>Toner</t>
  </si>
  <si>
    <t>Loja Lexmark</t>
  </si>
  <si>
    <t>Aquisição de Material de Consumo (Toner)</t>
  </si>
  <si>
    <t>Lexmark</t>
  </si>
  <si>
    <t>Passagem Aérea (Fabian Monrose - Palestra Internacional)</t>
  </si>
  <si>
    <t>Paradise (AA)</t>
  </si>
  <si>
    <t>Park Suites</t>
  </si>
  <si>
    <t>Comfort Hotel</t>
  </si>
  <si>
    <t>Hospedagem - Edna Canedo - Coordenadora FSC</t>
  </si>
  <si>
    <t>Hospedagem - Cinthia Freitas - Coordenadora WFC</t>
  </si>
  <si>
    <t>Hospedagem - Rossana Andrade - Coordenadora Minucursos</t>
  </si>
  <si>
    <t>Hospedagem - Raul Ceretta - Coordenador TP</t>
  </si>
  <si>
    <t>Hospedagem - Rafael Timoteo Souza Junior</t>
  </si>
  <si>
    <t>Hospedagem - Jorge de A. Lambert - WFC e FSC</t>
  </si>
  <si>
    <t>Hospedagem - Marcelo Caldeira Ruback - WFC e FSC</t>
  </si>
  <si>
    <t>Hospedagem - Otávio Carlos Cunha da Silva - FSC</t>
  </si>
  <si>
    <t>Hospedagem - Michel Abdalla - Coordenador TP</t>
  </si>
  <si>
    <t>Hospedagem - Luiz Cláudio Gomes Gonçalves - FSC</t>
  </si>
  <si>
    <t>Hospedagem - Evandro Della Vecchia</t>
  </si>
  <si>
    <t>Hospedagem - Geovandro Pereira</t>
  </si>
  <si>
    <t>Hospedagem - Marlon Domenech</t>
  </si>
  <si>
    <t>Zobessa</t>
  </si>
  <si>
    <t>Hospedagem - Willer Ferreira</t>
  </si>
  <si>
    <t>Coffe Break</t>
  </si>
  <si>
    <t>Coquetel de Abertura</t>
  </si>
  <si>
    <t>ok</t>
  </si>
  <si>
    <t>Som e Projeção</t>
  </si>
  <si>
    <t>Gauchos Churrascaria</t>
  </si>
  <si>
    <t>Jantar do Evento</t>
  </si>
  <si>
    <t>Sonorização e Tela de projeção</t>
  </si>
  <si>
    <t>Armando</t>
  </si>
  <si>
    <t>Show Musical</t>
  </si>
  <si>
    <t xml:space="preserve">Kassia </t>
  </si>
  <si>
    <t>Traslado</t>
  </si>
  <si>
    <t>APUI</t>
  </si>
  <si>
    <t>Impressão dos Minicursos</t>
  </si>
  <si>
    <t>Cesart Grafica</t>
  </si>
  <si>
    <t>Impressão da programação</t>
  </si>
  <si>
    <t>Impressão de Banners (70x90)</t>
  </si>
  <si>
    <t>Impressão de Banners (90x120)</t>
  </si>
  <si>
    <t>Impressão faixa (600x260)</t>
  </si>
  <si>
    <t>Hospedagem - Fabian Monrose - Palestrante Internacional</t>
  </si>
  <si>
    <t>Jantar da Comissão Especial</t>
  </si>
  <si>
    <t>Hospedagem - Matt Bishop - Palestrante</t>
  </si>
  <si>
    <t>Hospedagem - Anderson Clayton - Coordenador de Palestra</t>
  </si>
  <si>
    <t>Bazeiro</t>
  </si>
  <si>
    <t>ARMANDO</t>
  </si>
  <si>
    <t>Cedido pelo Icomp</t>
  </si>
  <si>
    <t>Realizado pelo Pessoal da UFAM</t>
  </si>
  <si>
    <t>Impressão de Programação Final</t>
  </si>
  <si>
    <t>Editoração dos Anais, Minicurso e Programação Final</t>
  </si>
  <si>
    <t>Banzeiro</t>
  </si>
  <si>
    <t>Corda</t>
  </si>
  <si>
    <t>,,,,,,,,,,,,,,,,,,,,,,,,,,,,,,,,,,,,,,,,,,,,,,,,,,,,,,,,,,,,,,,,,,,,,,,,,,,,,,,,,,,,,,,,,,,,,,,,,,,,,,,,,,,,,,,,,,,,,,,,,,,,,,,,,,,,,,,,,,,,,,,,,,,,,,,,,,,,,,,,,,,,,,,,,,,,,,,,,,,,,,,,,,,,,,,,,,,,,,,,,,,,,,,,,,,,,,,,,,,,,,,,,,,,,,,,,,,,,</t>
  </si>
  <si>
    <t>Impressão backdrop (200x200)</t>
  </si>
  <si>
    <t>Impressão Faixa bem vindos</t>
  </si>
  <si>
    <t>Aluguel Mesas</t>
  </si>
  <si>
    <t>Passagens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</si>
</sst>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8" formatCode="&quot;R$&quot;#,##0.00_);[Red]\(&quot;R$&quot;#,##0.00\)"/>
    <numFmt numFmtId="44" formatCode="_(&quot;R$&quot;* #,##0.00_);_(&quot;R$&quot;* \(#,##0.00\);_(&quot;R$&quot;* &quot;-&quot;??_);_(@_)"/>
    <numFmt numFmtId="164" formatCode="&quot;R$&quot;#,##0.00"/>
  </numFmts>
  <fonts count="2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Verdana"/>
      <family val="2"/>
    </font>
    <font>
      <b/>
      <sz val="13"/>
      <name val="Cambria"/>
      <family val="1"/>
      <scheme val="major"/>
    </font>
    <font>
      <sz val="13"/>
      <color theme="1"/>
      <name val="Cambria"/>
      <family val="1"/>
      <scheme val="major"/>
    </font>
    <font>
      <b/>
      <sz val="13"/>
      <color theme="0"/>
      <name val="Cambria"/>
      <family val="1"/>
      <scheme val="major"/>
    </font>
    <font>
      <b/>
      <sz val="13"/>
      <color rgb="FFFFFFFF"/>
      <name val="Cambria"/>
      <family val="1"/>
    </font>
    <font>
      <sz val="11"/>
      <color theme="1"/>
      <name val="Cambria"/>
      <family val="1"/>
    </font>
    <font>
      <sz val="13"/>
      <name val="Cambria"/>
      <family val="1"/>
      <scheme val="major"/>
    </font>
    <font>
      <sz val="13"/>
      <color rgb="FF006666"/>
      <name val="Cambria"/>
      <family val="1"/>
      <scheme val="major"/>
    </font>
    <font>
      <b/>
      <sz val="13"/>
      <color theme="1"/>
      <name val="Cambria"/>
      <family val="1"/>
      <scheme val="major"/>
    </font>
    <font>
      <sz val="13"/>
      <color theme="0"/>
      <name val="Cambria"/>
      <family val="1"/>
      <scheme val="major"/>
    </font>
    <font>
      <sz val="13"/>
      <color rgb="FFC00000"/>
      <name val="Cambria"/>
      <family val="1"/>
      <scheme val="major"/>
    </font>
    <font>
      <b/>
      <sz val="11"/>
      <color theme="1"/>
      <name val="Calibri"/>
      <family val="2"/>
      <scheme val="minor"/>
    </font>
    <font>
      <sz val="13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3"/>
      <color rgb="FF006666"/>
      <name val="Cambria"/>
      <scheme val="major"/>
    </font>
    <font>
      <b/>
      <sz val="18"/>
      <color theme="0"/>
      <name val="Cambria"/>
      <family val="1"/>
      <scheme val="major"/>
    </font>
    <font>
      <sz val="18"/>
      <color theme="1"/>
      <name val="Calibri"/>
      <family val="2"/>
      <scheme val="minor"/>
    </font>
    <font>
      <b/>
      <sz val="16"/>
      <color theme="0"/>
      <name val="Cambria"/>
      <scheme val="major"/>
    </font>
    <font>
      <b/>
      <sz val="12"/>
      <color theme="1"/>
      <name val="Calibri"/>
      <family val="2"/>
      <scheme val="minor"/>
    </font>
    <font>
      <b/>
      <sz val="14"/>
      <color theme="0"/>
      <name val="Cambria"/>
      <scheme val="major"/>
    </font>
    <font>
      <sz val="12"/>
      <color rgb="FF000000"/>
      <name val="Calibri"/>
      <family val="2"/>
      <scheme val="minor"/>
    </font>
    <font>
      <sz val="13"/>
      <color rgb="FF000000"/>
      <name val="Cambria"/>
      <family val="1"/>
    </font>
  </fonts>
  <fills count="10">
    <fill>
      <patternFill patternType="none"/>
    </fill>
    <fill>
      <patternFill patternType="gray125"/>
    </fill>
    <fill>
      <patternFill patternType="solid">
        <fgColor rgb="FF006666"/>
        <bgColor indexed="64"/>
      </patternFill>
    </fill>
    <fill>
      <patternFill patternType="solid">
        <fgColor rgb="FF006666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</borders>
  <cellStyleXfs count="743">
    <xf numFmtId="0" fontId="0" fillId="0" borderId="0"/>
    <xf numFmtId="0" fontId="2" fillId="0" borderId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44" fontId="1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</cellStyleXfs>
  <cellXfs count="190">
    <xf numFmtId="0" fontId="0" fillId="0" borderId="0" xfId="0"/>
    <xf numFmtId="0" fontId="3" fillId="0" borderId="0" xfId="1" applyFont="1"/>
    <xf numFmtId="0" fontId="4" fillId="0" borderId="0" xfId="0" applyFont="1"/>
    <xf numFmtId="2" fontId="4" fillId="0" borderId="0" xfId="0" applyNumberFormat="1" applyFont="1"/>
    <xf numFmtId="0" fontId="5" fillId="2" borderId="1" xfId="0" applyFont="1" applyFill="1" applyBorder="1"/>
    <xf numFmtId="0" fontId="5" fillId="2" borderId="1" xfId="0" applyFont="1" applyFill="1" applyBorder="1" applyAlignment="1">
      <alignment horizontal="right"/>
    </xf>
    <xf numFmtId="0" fontId="6" fillId="3" borderId="1" xfId="0" applyFont="1" applyFill="1" applyBorder="1" applyAlignment="1">
      <alignment horizontal="right"/>
    </xf>
    <xf numFmtId="0" fontId="7" fillId="0" borderId="0" xfId="0" applyFont="1"/>
    <xf numFmtId="0" fontId="4" fillId="0" borderId="1" xfId="0" applyFont="1" applyBorder="1"/>
    <xf numFmtId="2" fontId="4" fillId="0" borderId="1" xfId="0" applyNumberFormat="1" applyFont="1" applyBorder="1"/>
    <xf numFmtId="2" fontId="8" fillId="0" borderId="1" xfId="1" applyNumberFormat="1" applyFont="1" applyBorder="1"/>
    <xf numFmtId="2" fontId="9" fillId="0" borderId="1" xfId="0" applyNumberFormat="1" applyFont="1" applyBorder="1" applyAlignment="1">
      <alignment horizontal="right"/>
    </xf>
    <xf numFmtId="2" fontId="5" fillId="2" borderId="1" xfId="0" applyNumberFormat="1" applyFont="1" applyFill="1" applyBorder="1"/>
    <xf numFmtId="0" fontId="8" fillId="0" borderId="1" xfId="1" applyFont="1" applyBorder="1"/>
    <xf numFmtId="0" fontId="11" fillId="2" borderId="1" xfId="0" applyFont="1" applyFill="1" applyBorder="1"/>
    <xf numFmtId="2" fontId="11" fillId="2" borderId="1" xfId="0" applyNumberFormat="1" applyFont="1" applyFill="1" applyBorder="1"/>
    <xf numFmtId="2" fontId="9" fillId="0" borderId="1" xfId="0" applyNumberFormat="1" applyFont="1" applyBorder="1"/>
    <xf numFmtId="0" fontId="5" fillId="2" borderId="1" xfId="1" applyFont="1" applyFill="1" applyBorder="1"/>
    <xf numFmtId="2" fontId="5" fillId="2" borderId="1" xfId="1" applyNumberFormat="1" applyFont="1" applyFill="1" applyBorder="1"/>
    <xf numFmtId="0" fontId="8" fillId="0" borderId="0" xfId="1" applyFont="1"/>
    <xf numFmtId="2" fontId="8" fillId="0" borderId="0" xfId="1" applyNumberFormat="1" applyFont="1"/>
    <xf numFmtId="2" fontId="12" fillId="0" borderId="0" xfId="0" applyNumberFormat="1" applyFont="1"/>
    <xf numFmtId="0" fontId="5" fillId="2" borderId="0" xfId="1" applyFont="1" applyFill="1"/>
    <xf numFmtId="2" fontId="5" fillId="2" borderId="0" xfId="1" applyNumberFormat="1" applyFont="1" applyFill="1"/>
    <xf numFmtId="0" fontId="3" fillId="0" borderId="0" xfId="1" applyFont="1" applyFill="1"/>
    <xf numFmtId="2" fontId="3" fillId="0" borderId="0" xfId="1" applyNumberFormat="1" applyFont="1"/>
    <xf numFmtId="0" fontId="13" fillId="0" borderId="0" xfId="0" applyFont="1"/>
    <xf numFmtId="2" fontId="14" fillId="2" borderId="1" xfId="0" applyNumberFormat="1" applyFont="1" applyFill="1" applyBorder="1"/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2" fontId="17" fillId="0" borderId="1" xfId="0" applyNumberFormat="1" applyFont="1" applyBorder="1"/>
    <xf numFmtId="2" fontId="17" fillId="4" borderId="1" xfId="0" applyNumberFormat="1" applyFont="1" applyFill="1" applyBorder="1"/>
    <xf numFmtId="2" fontId="17" fillId="4" borderId="1" xfId="0" applyNumberFormat="1" applyFont="1" applyFill="1" applyBorder="1" applyAlignment="1">
      <alignment horizontal="right"/>
    </xf>
    <xf numFmtId="164" fontId="18" fillId="2" borderId="1" xfId="1" applyNumberFormat="1" applyFont="1" applyFill="1" applyBorder="1"/>
    <xf numFmtId="164" fontId="19" fillId="0" borderId="0" xfId="0" applyNumberFormat="1" applyFont="1"/>
    <xf numFmtId="164" fontId="8" fillId="0" borderId="1" xfId="1" applyNumberFormat="1" applyFont="1" applyBorder="1"/>
    <xf numFmtId="164" fontId="5" fillId="2" borderId="1" xfId="0" applyNumberFormat="1" applyFont="1" applyFill="1" applyBorder="1"/>
    <xf numFmtId="0" fontId="5" fillId="2" borderId="2" xfId="0" applyFont="1" applyFill="1" applyBorder="1" applyAlignment="1">
      <alignment horizontal="center"/>
    </xf>
    <xf numFmtId="0" fontId="5" fillId="2" borderId="2" xfId="1" applyFont="1" applyFill="1" applyBorder="1" applyAlignment="1">
      <alignment horizontal="left"/>
    </xf>
    <xf numFmtId="0" fontId="5" fillId="2" borderId="8" xfId="0" applyFont="1" applyFill="1" applyBorder="1" applyAlignment="1">
      <alignment horizontal="center" vertical="center" wrapText="1"/>
    </xf>
    <xf numFmtId="0" fontId="8" fillId="0" borderId="2" xfId="1" applyFont="1" applyBorder="1" applyAlignment="1">
      <alignment horizontal="left"/>
    </xf>
    <xf numFmtId="0" fontId="5" fillId="2" borderId="8" xfId="0" applyFont="1" applyFill="1" applyBorder="1" applyAlignment="1">
      <alignment horizontal="center" vertical="center"/>
    </xf>
    <xf numFmtId="2" fontId="9" fillId="4" borderId="1" xfId="0" applyNumberFormat="1" applyFont="1" applyFill="1" applyBorder="1" applyAlignment="1">
      <alignment horizontal="right"/>
    </xf>
    <xf numFmtId="2" fontId="9" fillId="5" borderId="1" xfId="0" applyNumberFormat="1" applyFont="1" applyFill="1" applyBorder="1" applyAlignment="1">
      <alignment horizontal="right"/>
    </xf>
    <xf numFmtId="2" fontId="9" fillId="4" borderId="1" xfId="0" applyNumberFormat="1" applyFont="1" applyFill="1" applyBorder="1"/>
    <xf numFmtId="0" fontId="6" fillId="3" borderId="2" xfId="0" applyFont="1" applyFill="1" applyBorder="1" applyAlignment="1">
      <alignment horizontal="right"/>
    </xf>
    <xf numFmtId="2" fontId="9" fillId="0" borderId="2" xfId="0" applyNumberFormat="1" applyFont="1" applyBorder="1" applyAlignment="1">
      <alignment horizontal="right"/>
    </xf>
    <xf numFmtId="2" fontId="5" fillId="2" borderId="2" xfId="0" applyNumberFormat="1" applyFont="1" applyFill="1" applyBorder="1"/>
    <xf numFmtId="2" fontId="8" fillId="0" borderId="17" xfId="0" applyNumberFormat="1" applyFont="1" applyBorder="1"/>
    <xf numFmtId="2" fontId="8" fillId="4" borderId="18" xfId="0" applyNumberFormat="1" applyFont="1" applyFill="1" applyBorder="1"/>
    <xf numFmtId="2" fontId="3" fillId="2" borderId="19" xfId="0" applyNumberFormat="1" applyFont="1" applyFill="1" applyBorder="1"/>
    <xf numFmtId="2" fontId="3" fillId="2" borderId="20" xfId="0" applyNumberFormat="1" applyFont="1" applyFill="1" applyBorder="1"/>
    <xf numFmtId="0" fontId="5" fillId="2" borderId="8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/>
    </xf>
    <xf numFmtId="0" fontId="0" fillId="0" borderId="1" xfId="0" applyBorder="1"/>
    <xf numFmtId="0" fontId="5" fillId="2" borderId="21" xfId="0" applyFont="1" applyFill="1" applyBorder="1" applyAlignment="1">
      <alignment horizontal="center" vertical="center"/>
    </xf>
    <xf numFmtId="164" fontId="0" fillId="0" borderId="1" xfId="0" applyNumberFormat="1" applyBorder="1"/>
    <xf numFmtId="0" fontId="0" fillId="0" borderId="1" xfId="0" applyBorder="1" applyAlignment="1">
      <alignment horizontal="center"/>
    </xf>
    <xf numFmtId="0" fontId="5" fillId="2" borderId="1" xfId="1" applyFont="1" applyFill="1" applyBorder="1" applyAlignment="1"/>
    <xf numFmtId="164" fontId="5" fillId="2" borderId="1" xfId="1" applyNumberFormat="1" applyFont="1" applyFill="1" applyBorder="1" applyAlignment="1"/>
    <xf numFmtId="8" fontId="0" fillId="0" borderId="1" xfId="0" applyNumberFormat="1" applyBorder="1"/>
    <xf numFmtId="164" fontId="0" fillId="0" borderId="1" xfId="200" applyNumberFormat="1" applyFont="1" applyBorder="1"/>
    <xf numFmtId="0" fontId="6" fillId="3" borderId="1" xfId="0" applyFont="1" applyFill="1" applyBorder="1"/>
    <xf numFmtId="164" fontId="0" fillId="0" borderId="0" xfId="0" applyNumberFormat="1"/>
    <xf numFmtId="0" fontId="0" fillId="0" borderId="1" xfId="0" applyBorder="1" applyAlignment="1">
      <alignment horizontal="center" vertical="center"/>
    </xf>
    <xf numFmtId="0" fontId="3" fillId="0" borderId="2" xfId="1" applyFont="1" applyBorder="1" applyAlignment="1">
      <alignment horizontal="left"/>
    </xf>
    <xf numFmtId="164" fontId="3" fillId="0" borderId="1" xfId="1" applyNumberFormat="1" applyFont="1" applyBorder="1"/>
    <xf numFmtId="0" fontId="21" fillId="0" borderId="1" xfId="0" applyFont="1" applyBorder="1"/>
    <xf numFmtId="164" fontId="3" fillId="0" borderId="1" xfId="1" applyNumberFormat="1" applyFont="1" applyFill="1" applyBorder="1"/>
    <xf numFmtId="0" fontId="21" fillId="0" borderId="21" xfId="0" applyFont="1" applyFill="1" applyBorder="1"/>
    <xf numFmtId="164" fontId="3" fillId="0" borderId="21" xfId="1" applyNumberFormat="1" applyFont="1" applyFill="1" applyBorder="1"/>
    <xf numFmtId="0" fontId="5" fillId="2" borderId="8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/>
    </xf>
    <xf numFmtId="164" fontId="5" fillId="2" borderId="1" xfId="1" applyNumberFormat="1" applyFont="1" applyFill="1" applyBorder="1"/>
    <xf numFmtId="0" fontId="6" fillId="3" borderId="21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0" fillId="5" borderId="1" xfId="0" applyNumberFormat="1" applyFill="1" applyBorder="1"/>
    <xf numFmtId="0" fontId="0" fillId="0" borderId="9" xfId="0" applyBorder="1" applyAlignment="1">
      <alignment horizontal="left" vertical="center"/>
    </xf>
    <xf numFmtId="164" fontId="23" fillId="0" borderId="1" xfId="0" applyNumberFormat="1" applyFont="1" applyBorder="1"/>
    <xf numFmtId="0" fontId="0" fillId="0" borderId="1" xfId="0" applyBorder="1" applyAlignment="1">
      <alignment horizontal="left"/>
    </xf>
    <xf numFmtId="0" fontId="23" fillId="0" borderId="3" xfId="0" applyFont="1" applyBorder="1"/>
    <xf numFmtId="164" fontId="23" fillId="0" borderId="3" xfId="0" applyNumberFormat="1" applyFont="1" applyBorder="1"/>
    <xf numFmtId="8" fontId="23" fillId="0" borderId="3" xfId="0" applyNumberFormat="1" applyFont="1" applyBorder="1"/>
    <xf numFmtId="0" fontId="0" fillId="5" borderId="1" xfId="0" applyFill="1" applyBorder="1"/>
    <xf numFmtId="164" fontId="0" fillId="5" borderId="1" xfId="200" applyNumberFormat="1" applyFont="1" applyFill="1" applyBorder="1"/>
    <xf numFmtId="0" fontId="0" fillId="0" borderId="9" xfId="0" applyBorder="1" applyAlignment="1">
      <alignment horizontal="left" vertical="center"/>
    </xf>
    <xf numFmtId="0" fontId="24" fillId="0" borderId="0" xfId="0" applyFont="1" applyBorder="1" applyAlignment="1"/>
    <xf numFmtId="0" fontId="24" fillId="0" borderId="2" xfId="0" applyFont="1" applyBorder="1" applyAlignment="1"/>
    <xf numFmtId="0" fontId="23" fillId="0" borderId="1" xfId="0" applyFont="1" applyBorder="1"/>
    <xf numFmtId="0" fontId="24" fillId="0" borderId="1" xfId="0" applyFont="1" applyBorder="1" applyAlignment="1"/>
    <xf numFmtId="0" fontId="0" fillId="0" borderId="1" xfId="0" applyBorder="1" applyAlignment="1"/>
    <xf numFmtId="0" fontId="0" fillId="0" borderId="0" xfId="0" applyFill="1" applyBorder="1"/>
    <xf numFmtId="164" fontId="0" fillId="0" borderId="0" xfId="0" applyNumberFormat="1" applyFill="1" applyBorder="1"/>
    <xf numFmtId="0" fontId="0" fillId="0" borderId="0" xfId="0" applyFill="1" applyBorder="1" applyAlignment="1">
      <alignment horizontal="center"/>
    </xf>
    <xf numFmtId="0" fontId="0" fillId="0" borderId="22" xfId="0" applyFill="1" applyBorder="1" applyAlignment="1">
      <alignment horizontal="center"/>
    </xf>
    <xf numFmtId="0" fontId="0" fillId="0" borderId="9" xfId="0" applyBorder="1" applyAlignment="1">
      <alignment horizontal="left" vertical="center"/>
    </xf>
    <xf numFmtId="8" fontId="0" fillId="0" borderId="0" xfId="0" applyNumberFormat="1"/>
    <xf numFmtId="0" fontId="8" fillId="0" borderId="2" xfId="1" applyFont="1" applyBorder="1" applyAlignment="1"/>
    <xf numFmtId="0" fontId="8" fillId="0" borderId="3" xfId="1" applyFont="1" applyBorder="1" applyAlignment="1"/>
    <xf numFmtId="0" fontId="3" fillId="0" borderId="1" xfId="1" applyFont="1" applyBorder="1" applyAlignment="1">
      <alignment horizontal="left"/>
    </xf>
    <xf numFmtId="2" fontId="5" fillId="2" borderId="2" xfId="1" applyNumberFormat="1" applyFont="1" applyFill="1" applyBorder="1" applyAlignment="1">
      <alignment horizontal="left"/>
    </xf>
    <xf numFmtId="2" fontId="5" fillId="2" borderId="4" xfId="1" applyNumberFormat="1" applyFont="1" applyFill="1" applyBorder="1" applyAlignment="1">
      <alignment horizontal="left"/>
    </xf>
    <xf numFmtId="2" fontId="5" fillId="2" borderId="3" xfId="1" applyNumberFormat="1" applyFont="1" applyFill="1" applyBorder="1" applyAlignment="1">
      <alignment horizontal="left"/>
    </xf>
    <xf numFmtId="164" fontId="18" fillId="2" borderId="2" xfId="1" applyNumberFormat="1" applyFont="1" applyFill="1" applyBorder="1" applyAlignment="1">
      <alignment horizontal="left"/>
    </xf>
    <xf numFmtId="164" fontId="18" fillId="2" borderId="4" xfId="1" applyNumberFormat="1" applyFont="1" applyFill="1" applyBorder="1" applyAlignment="1">
      <alignment horizontal="left"/>
    </xf>
    <xf numFmtId="164" fontId="18" fillId="2" borderId="3" xfId="1" applyNumberFormat="1" applyFont="1" applyFill="1" applyBorder="1" applyAlignment="1">
      <alignment horizontal="left"/>
    </xf>
    <xf numFmtId="0" fontId="5" fillId="2" borderId="2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10" fillId="0" borderId="1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5" fillId="2" borderId="2" xfId="1" applyFont="1" applyFill="1" applyBorder="1" applyAlignment="1">
      <alignment horizontal="left"/>
    </xf>
    <xf numFmtId="0" fontId="5" fillId="2" borderId="3" xfId="1" applyFont="1" applyFill="1" applyBorder="1" applyAlignment="1">
      <alignment horizontal="left"/>
    </xf>
    <xf numFmtId="0" fontId="5" fillId="2" borderId="1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/>
    </xf>
    <xf numFmtId="0" fontId="8" fillId="0" borderId="1" xfId="1" applyFont="1" applyBorder="1" applyAlignment="1">
      <alignment horizontal="left"/>
    </xf>
    <xf numFmtId="0" fontId="8" fillId="0" borderId="1" xfId="1" applyFont="1" applyBorder="1" applyAlignment="1">
      <alignment horizontal="left" wrapText="1"/>
    </xf>
    <xf numFmtId="0" fontId="5" fillId="2" borderId="0" xfId="1" applyFont="1" applyFill="1" applyAlignment="1">
      <alignment horizontal="left"/>
    </xf>
    <xf numFmtId="0" fontId="8" fillId="0" borderId="2" xfId="1" applyFont="1" applyBorder="1" applyAlignment="1">
      <alignment horizontal="left"/>
    </xf>
    <xf numFmtId="0" fontId="8" fillId="0" borderId="3" xfId="1" applyFont="1" applyBorder="1" applyAlignment="1">
      <alignment horizontal="left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/>
    </xf>
    <xf numFmtId="0" fontId="6" fillId="3" borderId="6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8" fillId="7" borderId="1" xfId="1" applyFont="1" applyFill="1" applyBorder="1" applyAlignment="1">
      <alignment horizontal="left"/>
    </xf>
    <xf numFmtId="0" fontId="8" fillId="6" borderId="2" xfId="1" applyFont="1" applyFill="1" applyBorder="1" applyAlignment="1">
      <alignment horizontal="left"/>
    </xf>
    <xf numFmtId="0" fontId="8" fillId="6" borderId="3" xfId="1" applyFont="1" applyFill="1" applyBorder="1" applyAlignment="1">
      <alignment horizontal="left"/>
    </xf>
    <xf numFmtId="0" fontId="8" fillId="5" borderId="2" xfId="1" applyFont="1" applyFill="1" applyBorder="1" applyAlignment="1">
      <alignment horizontal="left"/>
    </xf>
    <xf numFmtId="0" fontId="8" fillId="5" borderId="3" xfId="1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5" fillId="2" borderId="1" xfId="1" applyFont="1" applyFill="1" applyBorder="1" applyAlignment="1">
      <alignment horizontal="left"/>
    </xf>
    <xf numFmtId="0" fontId="5" fillId="2" borderId="10" xfId="0" applyFont="1" applyFill="1" applyBorder="1" applyAlignment="1">
      <alignment horizontal="left" vertical="center"/>
    </xf>
    <xf numFmtId="0" fontId="5" fillId="2" borderId="11" xfId="0" applyFont="1" applyFill="1" applyBorder="1" applyAlignment="1">
      <alignment horizontal="left" vertical="center"/>
    </xf>
    <xf numFmtId="0" fontId="5" fillId="2" borderId="12" xfId="0" applyFont="1" applyFill="1" applyBorder="1" applyAlignment="1">
      <alignment horizontal="left" vertical="center"/>
    </xf>
    <xf numFmtId="0" fontId="5" fillId="2" borderId="5" xfId="0" applyFont="1" applyFill="1" applyBorder="1" applyAlignment="1">
      <alignment horizontal="left" vertical="center"/>
    </xf>
    <xf numFmtId="0" fontId="5" fillId="2" borderId="7" xfId="0" applyFont="1" applyFill="1" applyBorder="1" applyAlignment="1">
      <alignment horizontal="left" vertical="center"/>
    </xf>
    <xf numFmtId="0" fontId="5" fillId="2" borderId="6" xfId="0" applyFont="1" applyFill="1" applyBorder="1" applyAlignment="1">
      <alignment horizontal="left" vertical="center"/>
    </xf>
    <xf numFmtId="0" fontId="8" fillId="5" borderId="1" xfId="1" applyFont="1" applyFill="1" applyBorder="1" applyAlignment="1">
      <alignment horizontal="left"/>
    </xf>
    <xf numFmtId="0" fontId="4" fillId="4" borderId="2" xfId="0" applyFont="1" applyFill="1" applyBorder="1" applyAlignment="1">
      <alignment horizontal="left"/>
    </xf>
    <xf numFmtId="0" fontId="4" fillId="4" borderId="3" xfId="0" applyFont="1" applyFill="1" applyBorder="1" applyAlignment="1">
      <alignment horizontal="left"/>
    </xf>
    <xf numFmtId="0" fontId="20" fillId="2" borderId="5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horizontal="left"/>
    </xf>
    <xf numFmtId="0" fontId="5" fillId="2" borderId="11" xfId="1" applyFont="1" applyFill="1" applyBorder="1" applyAlignment="1">
      <alignment horizontal="left"/>
    </xf>
    <xf numFmtId="0" fontId="4" fillId="0" borderId="10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8" fillId="0" borderId="10" xfId="1" applyFont="1" applyBorder="1" applyAlignment="1">
      <alignment horizontal="left" vertical="center"/>
    </xf>
    <xf numFmtId="0" fontId="8" fillId="0" borderId="12" xfId="1" applyFont="1" applyBorder="1" applyAlignment="1">
      <alignment horizontal="left" vertical="center"/>
    </xf>
    <xf numFmtId="0" fontId="8" fillId="0" borderId="22" xfId="1" applyFont="1" applyBorder="1" applyAlignment="1">
      <alignment horizontal="left" vertical="center"/>
    </xf>
    <xf numFmtId="0" fontId="8" fillId="0" borderId="23" xfId="1" applyFont="1" applyBorder="1" applyAlignment="1">
      <alignment horizontal="left" vertical="center"/>
    </xf>
    <xf numFmtId="0" fontId="8" fillId="0" borderId="5" xfId="1" applyFont="1" applyBorder="1" applyAlignment="1">
      <alignment horizontal="left" vertical="center"/>
    </xf>
    <xf numFmtId="0" fontId="8" fillId="0" borderId="6" xfId="1" applyFont="1" applyBorder="1" applyAlignment="1">
      <alignment horizontal="left" vertical="center"/>
    </xf>
    <xf numFmtId="0" fontId="0" fillId="8" borderId="2" xfId="0" quotePrefix="1" applyFill="1" applyBorder="1" applyAlignment="1">
      <alignment horizontal="center"/>
    </xf>
    <xf numFmtId="0" fontId="0" fillId="8" borderId="4" xfId="0" quotePrefix="1" applyFill="1" applyBorder="1" applyAlignment="1">
      <alignment horizontal="center"/>
    </xf>
    <xf numFmtId="0" fontId="0" fillId="8" borderId="3" xfId="0" quotePrefix="1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8" fillId="0" borderId="2" xfId="1" applyFont="1" applyBorder="1" applyAlignment="1">
      <alignment horizontal="left" vertical="center"/>
    </xf>
    <xf numFmtId="0" fontId="8" fillId="0" borderId="3" xfId="1" applyFont="1" applyBorder="1" applyAlignment="1">
      <alignment horizontal="left" vertical="center"/>
    </xf>
    <xf numFmtId="0" fontId="22" fillId="2" borderId="2" xfId="0" applyFont="1" applyFill="1" applyBorder="1" applyAlignment="1">
      <alignment horizontal="center" vertical="center"/>
    </xf>
    <xf numFmtId="0" fontId="22" fillId="2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8" fillId="0" borderId="2" xfId="1" applyFont="1" applyBorder="1" applyAlignment="1">
      <alignment horizontal="center"/>
    </xf>
    <xf numFmtId="0" fontId="8" fillId="0" borderId="3" xfId="1" applyFont="1" applyBorder="1" applyAlignment="1">
      <alignment horizontal="center"/>
    </xf>
    <xf numFmtId="0" fontId="24" fillId="0" borderId="2" xfId="0" applyFont="1" applyBorder="1" applyAlignment="1">
      <alignment horizontal="left"/>
    </xf>
    <xf numFmtId="0" fontId="24" fillId="0" borderId="3" xfId="0" applyFont="1" applyBorder="1" applyAlignment="1">
      <alignment horizontal="left"/>
    </xf>
    <xf numFmtId="0" fontId="24" fillId="0" borderId="1" xfId="0" applyFont="1" applyBorder="1" applyAlignment="1">
      <alignment horizontal="left"/>
    </xf>
    <xf numFmtId="0" fontId="24" fillId="0" borderId="24" xfId="0" applyFont="1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</cellXfs>
  <cellStyles count="743">
    <cellStyle name="Currency" xfId="200" builtinId="4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Followed Hyperlink" xfId="662" builtinId="9" hidden="1"/>
    <cellStyle name="Followed Hyperlink" xfId="664" builtinId="9" hidden="1"/>
    <cellStyle name="Followed Hyperlink" xfId="666" builtinId="9" hidden="1"/>
    <cellStyle name="Followed Hyperlink" xfId="668" builtinId="9" hidden="1"/>
    <cellStyle name="Followed Hyperlink" xfId="670" builtinId="9" hidden="1"/>
    <cellStyle name="Followed Hyperlink" xfId="672" builtinId="9" hidden="1"/>
    <cellStyle name="Followed Hyperlink" xfId="674" builtinId="9" hidden="1"/>
    <cellStyle name="Followed Hyperlink" xfId="676" builtinId="9" hidden="1"/>
    <cellStyle name="Followed Hyperlink" xfId="678" builtinId="9" hidden="1"/>
    <cellStyle name="Followed Hyperlink" xfId="680" builtinId="9" hidden="1"/>
    <cellStyle name="Followed Hyperlink" xfId="682" builtinId="9" hidden="1"/>
    <cellStyle name="Followed Hyperlink" xfId="684" builtinId="9" hidden="1"/>
    <cellStyle name="Followed Hyperlink" xfId="686" builtinId="9" hidden="1"/>
    <cellStyle name="Followed Hyperlink" xfId="688" builtinId="9" hidden="1"/>
    <cellStyle name="Followed Hyperlink" xfId="690" builtinId="9" hidden="1"/>
    <cellStyle name="Followed Hyperlink" xfId="692" builtinId="9" hidden="1"/>
    <cellStyle name="Followed Hyperlink" xfId="694" builtinId="9" hidden="1"/>
    <cellStyle name="Followed Hyperlink" xfId="696" builtinId="9" hidden="1"/>
    <cellStyle name="Followed Hyperlink" xfId="698" builtinId="9" hidden="1"/>
    <cellStyle name="Followed Hyperlink" xfId="700" builtinId="9" hidden="1"/>
    <cellStyle name="Followed Hyperlink" xfId="702" builtinId="9" hidden="1"/>
    <cellStyle name="Followed Hyperlink" xfId="704" builtinId="9" hidden="1"/>
    <cellStyle name="Followed Hyperlink" xfId="706" builtinId="9" hidden="1"/>
    <cellStyle name="Followed Hyperlink" xfId="708" builtinId="9" hidden="1"/>
    <cellStyle name="Followed Hyperlink" xfId="710" builtinId="9" hidden="1"/>
    <cellStyle name="Followed Hyperlink" xfId="712" builtinId="9" hidden="1"/>
    <cellStyle name="Followed Hyperlink" xfId="714" builtinId="9" hidden="1"/>
    <cellStyle name="Followed Hyperlink" xfId="716" builtinId="9" hidden="1"/>
    <cellStyle name="Followed Hyperlink" xfId="718" builtinId="9" hidden="1"/>
    <cellStyle name="Followed Hyperlink" xfId="720" builtinId="9" hidden="1"/>
    <cellStyle name="Followed Hyperlink" xfId="722" builtinId="9" hidden="1"/>
    <cellStyle name="Followed Hyperlink" xfId="724" builtinId="9" hidden="1"/>
    <cellStyle name="Followed Hyperlink" xfId="726" builtinId="9" hidden="1"/>
    <cellStyle name="Followed Hyperlink" xfId="728" builtinId="9" hidden="1"/>
    <cellStyle name="Followed Hyperlink" xfId="730" builtinId="9" hidden="1"/>
    <cellStyle name="Followed Hyperlink" xfId="732" builtinId="9" hidden="1"/>
    <cellStyle name="Followed Hyperlink" xfId="734" builtinId="9" hidden="1"/>
    <cellStyle name="Followed Hyperlink" xfId="736" builtinId="9" hidden="1"/>
    <cellStyle name="Followed Hyperlink" xfId="738" builtinId="9" hidden="1"/>
    <cellStyle name="Followed Hyperlink" xfId="740" builtinId="9" hidden="1"/>
    <cellStyle name="Followed Hyperlink" xfId="742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Hyperlink" xfId="661" builtinId="8" hidden="1"/>
    <cellStyle name="Hyperlink" xfId="663" builtinId="8" hidden="1"/>
    <cellStyle name="Hyperlink" xfId="665" builtinId="8" hidden="1"/>
    <cellStyle name="Hyperlink" xfId="667" builtinId="8" hidden="1"/>
    <cellStyle name="Hyperlink" xfId="669" builtinId="8" hidden="1"/>
    <cellStyle name="Hyperlink" xfId="671" builtinId="8" hidden="1"/>
    <cellStyle name="Hyperlink" xfId="673" builtinId="8" hidden="1"/>
    <cellStyle name="Hyperlink" xfId="675" builtinId="8" hidden="1"/>
    <cellStyle name="Hyperlink" xfId="677" builtinId="8" hidden="1"/>
    <cellStyle name="Hyperlink" xfId="679" builtinId="8" hidden="1"/>
    <cellStyle name="Hyperlink" xfId="681" builtinId="8" hidden="1"/>
    <cellStyle name="Hyperlink" xfId="683" builtinId="8" hidden="1"/>
    <cellStyle name="Hyperlink" xfId="685" builtinId="8" hidden="1"/>
    <cellStyle name="Hyperlink" xfId="687" builtinId="8" hidden="1"/>
    <cellStyle name="Hyperlink" xfId="689" builtinId="8" hidden="1"/>
    <cellStyle name="Hyperlink" xfId="691" builtinId="8" hidden="1"/>
    <cellStyle name="Hyperlink" xfId="693" builtinId="8" hidden="1"/>
    <cellStyle name="Hyperlink" xfId="695" builtinId="8" hidden="1"/>
    <cellStyle name="Hyperlink" xfId="697" builtinId="8" hidden="1"/>
    <cellStyle name="Hyperlink" xfId="699" builtinId="8" hidden="1"/>
    <cellStyle name="Hyperlink" xfId="701" builtinId="8" hidden="1"/>
    <cellStyle name="Hyperlink" xfId="703" builtinId="8" hidden="1"/>
    <cellStyle name="Hyperlink" xfId="705" builtinId="8" hidden="1"/>
    <cellStyle name="Hyperlink" xfId="707" builtinId="8" hidden="1"/>
    <cellStyle name="Hyperlink" xfId="709" builtinId="8" hidden="1"/>
    <cellStyle name="Hyperlink" xfId="711" builtinId="8" hidden="1"/>
    <cellStyle name="Hyperlink" xfId="713" builtinId="8" hidden="1"/>
    <cellStyle name="Hyperlink" xfId="715" builtinId="8" hidden="1"/>
    <cellStyle name="Hyperlink" xfId="717" builtinId="8" hidden="1"/>
    <cellStyle name="Hyperlink" xfId="719" builtinId="8" hidden="1"/>
    <cellStyle name="Hyperlink" xfId="721" builtinId="8" hidden="1"/>
    <cellStyle name="Hyperlink" xfId="723" builtinId="8" hidden="1"/>
    <cellStyle name="Hyperlink" xfId="725" builtinId="8" hidden="1"/>
    <cellStyle name="Hyperlink" xfId="727" builtinId="8" hidden="1"/>
    <cellStyle name="Hyperlink" xfId="729" builtinId="8" hidden="1"/>
    <cellStyle name="Hyperlink" xfId="731" builtinId="8" hidden="1"/>
    <cellStyle name="Hyperlink" xfId="733" builtinId="8" hidden="1"/>
    <cellStyle name="Hyperlink" xfId="735" builtinId="8" hidden="1"/>
    <cellStyle name="Hyperlink" xfId="737" builtinId="8" hidden="1"/>
    <cellStyle name="Hyperlink" xfId="739" builtinId="8" hidden="1"/>
    <cellStyle name="Hyperlink" xfId="741" builtinId="8" hidden="1"/>
    <cellStyle name="Normal" xfId="0" builtinId="0"/>
    <cellStyle name="Normal 2" xfId="1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Relationship Id="rId10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67"/>
  <sheetViews>
    <sheetView topLeftCell="B23" workbookViewId="0">
      <selection activeCell="B2" sqref="B2:G9"/>
    </sheetView>
  </sheetViews>
  <sheetFormatPr baseColWidth="10" defaultColWidth="8.83203125" defaultRowHeight="15" x14ac:dyDescent="0"/>
  <cols>
    <col min="1" max="1" width="10.6640625" hidden="1" customWidth="1"/>
    <col min="2" max="2" width="28.1640625" customWidth="1"/>
    <col min="3" max="3" width="25.83203125" customWidth="1"/>
    <col min="4" max="4" width="7.5" customWidth="1"/>
    <col min="5" max="5" width="7.83203125" customWidth="1"/>
    <col min="6" max="6" width="11" customWidth="1"/>
    <col min="7" max="7" width="22.6640625" customWidth="1"/>
  </cols>
  <sheetData>
    <row r="2" spans="2:7" ht="16" customHeight="1">
      <c r="B2" s="119" t="s">
        <v>0</v>
      </c>
      <c r="C2" s="119"/>
      <c r="D2" s="116" t="s">
        <v>2</v>
      </c>
      <c r="E2" s="116" t="s">
        <v>3</v>
      </c>
      <c r="F2" s="116" t="s">
        <v>4</v>
      </c>
      <c r="G2" s="117" t="s">
        <v>51</v>
      </c>
    </row>
    <row r="3" spans="2:7" s="7" customFormat="1" ht="16">
      <c r="B3" s="119" t="s">
        <v>1</v>
      </c>
      <c r="C3" s="119"/>
      <c r="D3" s="116"/>
      <c r="E3" s="116"/>
      <c r="F3" s="116"/>
      <c r="G3" s="118"/>
    </row>
    <row r="4" spans="2:7" ht="16">
      <c r="B4" s="120" t="s">
        <v>7</v>
      </c>
      <c r="C4" s="120"/>
      <c r="D4" s="8">
        <v>2</v>
      </c>
      <c r="E4" s="8">
        <v>2</v>
      </c>
      <c r="F4" s="9">
        <v>3000</v>
      </c>
      <c r="G4" s="10">
        <f>F4*E4*D4</f>
        <v>12000</v>
      </c>
    </row>
    <row r="5" spans="2:7" ht="16">
      <c r="B5" s="120" t="s">
        <v>8</v>
      </c>
      <c r="C5" s="120"/>
      <c r="D5" s="8">
        <v>3</v>
      </c>
      <c r="E5" s="8">
        <v>2</v>
      </c>
      <c r="F5" s="9">
        <v>1000</v>
      </c>
      <c r="G5" s="10">
        <f>F5*E5*D5</f>
        <v>6000</v>
      </c>
    </row>
    <row r="6" spans="2:7" ht="16">
      <c r="B6" s="120" t="s">
        <v>9</v>
      </c>
      <c r="C6" s="120"/>
      <c r="D6" s="8">
        <v>4</v>
      </c>
      <c r="E6" s="8">
        <v>2</v>
      </c>
      <c r="F6" s="9">
        <v>1000</v>
      </c>
      <c r="G6" s="10">
        <f>F6*E6*D6</f>
        <v>8000</v>
      </c>
    </row>
    <row r="7" spans="2:7" ht="16">
      <c r="B7" s="120" t="s">
        <v>10</v>
      </c>
      <c r="C7" s="120"/>
      <c r="D7" s="8">
        <v>2</v>
      </c>
      <c r="E7" s="8">
        <v>2</v>
      </c>
      <c r="F7" s="9">
        <v>1750</v>
      </c>
      <c r="G7" s="10">
        <f>F7*E7*D7</f>
        <v>7000</v>
      </c>
    </row>
    <row r="8" spans="2:7" ht="16">
      <c r="B8" s="120" t="s">
        <v>11</v>
      </c>
      <c r="C8" s="120"/>
      <c r="D8" s="8">
        <v>4</v>
      </c>
      <c r="E8" s="8">
        <v>2</v>
      </c>
      <c r="F8" s="9">
        <v>1000</v>
      </c>
      <c r="G8" s="10">
        <f>F8*E8*D8</f>
        <v>8000</v>
      </c>
    </row>
    <row r="9" spans="2:7" ht="16">
      <c r="B9" s="114" t="s">
        <v>12</v>
      </c>
      <c r="C9" s="115"/>
      <c r="D9" s="4"/>
      <c r="E9" s="4"/>
      <c r="F9" s="12"/>
      <c r="G9" s="12">
        <f>SUM(G4:G8)</f>
        <v>41000</v>
      </c>
    </row>
    <row r="10" spans="2:7" ht="16">
      <c r="B10" s="2"/>
      <c r="C10" s="2"/>
      <c r="D10" s="2"/>
      <c r="E10" s="2"/>
      <c r="F10" s="3"/>
      <c r="G10" s="2"/>
    </row>
    <row r="11" spans="2:7" ht="16" customHeight="1">
      <c r="B11" s="119" t="s">
        <v>13</v>
      </c>
      <c r="C11" s="119"/>
      <c r="D11" s="116" t="s">
        <v>2</v>
      </c>
      <c r="E11" s="116" t="s">
        <v>3</v>
      </c>
      <c r="F11" s="116" t="s">
        <v>4</v>
      </c>
      <c r="G11" s="117" t="s">
        <v>51</v>
      </c>
    </row>
    <row r="12" spans="2:7" s="7" customFormat="1" ht="16">
      <c r="B12" s="119" t="s">
        <v>1</v>
      </c>
      <c r="C12" s="119"/>
      <c r="D12" s="116"/>
      <c r="E12" s="116"/>
      <c r="F12" s="116"/>
      <c r="G12" s="118"/>
    </row>
    <row r="13" spans="2:7" ht="16">
      <c r="B13" s="123" t="s">
        <v>14</v>
      </c>
      <c r="C13" s="124"/>
      <c r="D13" s="13">
        <v>2</v>
      </c>
      <c r="E13" s="13">
        <v>8</v>
      </c>
      <c r="F13" s="10">
        <v>187.83</v>
      </c>
      <c r="G13" s="10">
        <f>F13*E13*D13</f>
        <v>3005.28</v>
      </c>
    </row>
    <row r="14" spans="2:7" ht="16">
      <c r="B14" s="123" t="s">
        <v>15</v>
      </c>
      <c r="C14" s="124"/>
      <c r="D14" s="13">
        <v>3</v>
      </c>
      <c r="E14" s="13">
        <v>8</v>
      </c>
      <c r="F14" s="10">
        <v>187.83</v>
      </c>
      <c r="G14" s="10">
        <f>F14*E14*D14</f>
        <v>4507.92</v>
      </c>
    </row>
    <row r="15" spans="2:7" ht="16">
      <c r="B15" s="123" t="s">
        <v>9</v>
      </c>
      <c r="C15" s="124"/>
      <c r="D15" s="13">
        <v>4</v>
      </c>
      <c r="E15" s="13">
        <v>4</v>
      </c>
      <c r="F15" s="10">
        <v>187.83</v>
      </c>
      <c r="G15" s="10">
        <f>F15*E15*D15</f>
        <v>3005.28</v>
      </c>
    </row>
    <row r="16" spans="2:7" ht="16">
      <c r="B16" s="123" t="s">
        <v>16</v>
      </c>
      <c r="C16" s="124"/>
      <c r="D16" s="13">
        <v>2</v>
      </c>
      <c r="E16" s="13">
        <v>8</v>
      </c>
      <c r="F16" s="10">
        <v>187.83</v>
      </c>
      <c r="G16" s="10">
        <f>F16*E16*D16</f>
        <v>3005.28</v>
      </c>
    </row>
    <row r="17" spans="2:7" ht="16">
      <c r="B17" s="123" t="s">
        <v>17</v>
      </c>
      <c r="C17" s="124"/>
      <c r="D17" s="13">
        <v>4</v>
      </c>
      <c r="E17" s="13">
        <v>8</v>
      </c>
      <c r="F17" s="10">
        <v>187.83</v>
      </c>
      <c r="G17" s="10">
        <f>F17*E17*D17</f>
        <v>6010.56</v>
      </c>
    </row>
    <row r="18" spans="2:7" ht="16">
      <c r="B18" s="114" t="s">
        <v>12</v>
      </c>
      <c r="C18" s="115"/>
      <c r="D18" s="14"/>
      <c r="E18" s="14"/>
      <c r="F18" s="15"/>
      <c r="G18" s="12">
        <f t="shared" ref="G18" si="0">SUM(G13:G17)</f>
        <v>19534.320000000003</v>
      </c>
    </row>
    <row r="19" spans="2:7" ht="16">
      <c r="B19" s="2"/>
      <c r="C19" s="2"/>
      <c r="D19" s="2"/>
      <c r="E19" s="2"/>
      <c r="F19" s="3"/>
      <c r="G19" s="2"/>
    </row>
    <row r="20" spans="2:7" ht="16" customHeight="1">
      <c r="B20" s="119" t="s">
        <v>18</v>
      </c>
      <c r="C20" s="119"/>
      <c r="D20" s="116" t="s">
        <v>2</v>
      </c>
      <c r="E20" s="116" t="s">
        <v>3</v>
      </c>
      <c r="F20" s="116" t="s">
        <v>4</v>
      </c>
      <c r="G20" s="117" t="s">
        <v>51</v>
      </c>
    </row>
    <row r="21" spans="2:7" s="7" customFormat="1" ht="16">
      <c r="B21" s="119" t="s">
        <v>1</v>
      </c>
      <c r="C21" s="119"/>
      <c r="D21" s="116"/>
      <c r="E21" s="116"/>
      <c r="F21" s="116"/>
      <c r="G21" s="118"/>
    </row>
    <row r="22" spans="2:7" ht="16">
      <c r="B22" s="123" t="s">
        <v>19</v>
      </c>
      <c r="C22" s="124"/>
      <c r="D22" s="13">
        <v>4</v>
      </c>
      <c r="E22" s="13">
        <v>4</v>
      </c>
      <c r="F22" s="10">
        <v>2340</v>
      </c>
      <c r="G22" s="10">
        <f>D22*E22*F22</f>
        <v>37440</v>
      </c>
    </row>
    <row r="23" spans="2:7" ht="16">
      <c r="B23" s="123" t="s">
        <v>20</v>
      </c>
      <c r="C23" s="124"/>
      <c r="D23" s="13">
        <v>4</v>
      </c>
      <c r="E23" s="13">
        <v>4</v>
      </c>
      <c r="F23" s="10">
        <v>250</v>
      </c>
      <c r="G23" s="10">
        <f t="shared" ref="G23:G28" si="1">F23*E23*D23</f>
        <v>4000</v>
      </c>
    </row>
    <row r="24" spans="2:7" ht="16">
      <c r="B24" s="123" t="s">
        <v>21</v>
      </c>
      <c r="C24" s="124"/>
      <c r="D24" s="13">
        <v>10</v>
      </c>
      <c r="E24" s="13">
        <v>4</v>
      </c>
      <c r="F24" s="10">
        <v>50</v>
      </c>
      <c r="G24" s="10">
        <f t="shared" si="1"/>
        <v>2000</v>
      </c>
    </row>
    <row r="25" spans="2:7" ht="16">
      <c r="B25" s="123" t="s">
        <v>22</v>
      </c>
      <c r="C25" s="124"/>
      <c r="D25" s="13">
        <v>1</v>
      </c>
      <c r="E25" s="13">
        <v>4</v>
      </c>
      <c r="F25" s="10">
        <v>1750</v>
      </c>
      <c r="G25" s="10">
        <f t="shared" si="1"/>
        <v>7000</v>
      </c>
    </row>
    <row r="26" spans="2:7" ht="16">
      <c r="B26" s="123" t="s">
        <v>23</v>
      </c>
      <c r="C26" s="124"/>
      <c r="D26" s="13">
        <v>4</v>
      </c>
      <c r="E26" s="13">
        <v>4</v>
      </c>
      <c r="F26" s="10">
        <v>100</v>
      </c>
      <c r="G26" s="10">
        <f t="shared" si="1"/>
        <v>1600</v>
      </c>
    </row>
    <row r="27" spans="2:7" ht="16">
      <c r="B27" s="123" t="s">
        <v>24</v>
      </c>
      <c r="C27" s="124"/>
      <c r="D27" s="13">
        <v>17</v>
      </c>
      <c r="E27" s="13">
        <v>2</v>
      </c>
      <c r="F27" s="10">
        <v>80</v>
      </c>
      <c r="G27" s="10">
        <f t="shared" si="1"/>
        <v>2720</v>
      </c>
    </row>
    <row r="28" spans="2:7" ht="16">
      <c r="B28" s="123" t="s">
        <v>25</v>
      </c>
      <c r="C28" s="124"/>
      <c r="D28" s="13">
        <v>1</v>
      </c>
      <c r="E28" s="13">
        <v>4</v>
      </c>
      <c r="F28" s="10">
        <v>1250</v>
      </c>
      <c r="G28" s="10">
        <f t="shared" si="1"/>
        <v>5000</v>
      </c>
    </row>
    <row r="29" spans="2:7" ht="16">
      <c r="B29" s="114" t="s">
        <v>12</v>
      </c>
      <c r="C29" s="115"/>
      <c r="D29" s="17"/>
      <c r="E29" s="17"/>
      <c r="F29" s="18"/>
      <c r="G29" s="18">
        <f>SUM(G22:G28)</f>
        <v>59760</v>
      </c>
    </row>
    <row r="30" spans="2:7" ht="16">
      <c r="B30" s="19"/>
      <c r="C30" s="19"/>
      <c r="D30" s="19"/>
      <c r="E30" s="19"/>
      <c r="F30" s="20"/>
      <c r="G30" s="20"/>
    </row>
    <row r="31" spans="2:7" ht="16" customHeight="1">
      <c r="B31" s="119" t="s">
        <v>26</v>
      </c>
      <c r="C31" s="119"/>
      <c r="D31" s="116" t="s">
        <v>2</v>
      </c>
      <c r="E31" s="116" t="s">
        <v>3</v>
      </c>
      <c r="F31" s="116" t="s">
        <v>4</v>
      </c>
      <c r="G31" s="117" t="s">
        <v>51</v>
      </c>
    </row>
    <row r="32" spans="2:7" s="7" customFormat="1" ht="16">
      <c r="B32" s="119" t="s">
        <v>1</v>
      </c>
      <c r="C32" s="119"/>
      <c r="D32" s="116"/>
      <c r="E32" s="116"/>
      <c r="F32" s="116"/>
      <c r="G32" s="118"/>
    </row>
    <row r="33" spans="2:7" ht="16">
      <c r="B33" s="120" t="s">
        <v>27</v>
      </c>
      <c r="C33" s="120"/>
      <c r="D33" s="13">
        <v>1</v>
      </c>
      <c r="E33" s="13">
        <v>400</v>
      </c>
      <c r="F33" s="10">
        <v>2.5</v>
      </c>
      <c r="G33" s="10">
        <f t="shared" ref="G33:G39" si="2">F33*E33*D33</f>
        <v>1000</v>
      </c>
    </row>
    <row r="34" spans="2:7" ht="16">
      <c r="B34" s="120" t="s">
        <v>28</v>
      </c>
      <c r="C34" s="120"/>
      <c r="D34" s="13">
        <v>1</v>
      </c>
      <c r="E34" s="13">
        <v>400</v>
      </c>
      <c r="F34" s="10">
        <v>5</v>
      </c>
      <c r="G34" s="10">
        <f t="shared" si="2"/>
        <v>2000</v>
      </c>
    </row>
    <row r="35" spans="2:7" ht="16">
      <c r="B35" s="120" t="s">
        <v>29</v>
      </c>
      <c r="C35" s="120"/>
      <c r="D35" s="13">
        <v>1</v>
      </c>
      <c r="E35" s="13">
        <v>50</v>
      </c>
      <c r="F35" s="10">
        <v>20</v>
      </c>
      <c r="G35" s="10">
        <f t="shared" si="2"/>
        <v>1000</v>
      </c>
    </row>
    <row r="36" spans="2:7" ht="16">
      <c r="B36" s="120" t="s">
        <v>30</v>
      </c>
      <c r="C36" s="120"/>
      <c r="D36" s="13">
        <v>1</v>
      </c>
      <c r="E36" s="13">
        <v>400</v>
      </c>
      <c r="F36" s="10">
        <v>5</v>
      </c>
      <c r="G36" s="10">
        <f t="shared" si="2"/>
        <v>2000</v>
      </c>
    </row>
    <row r="37" spans="2:7" ht="16">
      <c r="B37" s="121" t="s">
        <v>31</v>
      </c>
      <c r="C37" s="121"/>
      <c r="D37" s="13">
        <v>1</v>
      </c>
      <c r="E37" s="13">
        <v>400</v>
      </c>
      <c r="F37" s="10">
        <v>2.5</v>
      </c>
      <c r="G37" s="10">
        <f t="shared" si="2"/>
        <v>1000</v>
      </c>
    </row>
    <row r="38" spans="2:7" ht="16">
      <c r="B38" s="120" t="s">
        <v>32</v>
      </c>
      <c r="C38" s="120"/>
      <c r="D38" s="13">
        <v>1</v>
      </c>
      <c r="E38" s="13">
        <v>1</v>
      </c>
      <c r="F38" s="10">
        <v>4000</v>
      </c>
      <c r="G38" s="10">
        <f t="shared" si="2"/>
        <v>4000</v>
      </c>
    </row>
    <row r="39" spans="2:7" ht="16">
      <c r="B39" s="120" t="s">
        <v>33</v>
      </c>
      <c r="C39" s="120"/>
      <c r="D39" s="13">
        <v>1</v>
      </c>
      <c r="E39" s="13">
        <v>400</v>
      </c>
      <c r="F39" s="10">
        <v>5</v>
      </c>
      <c r="G39" s="10">
        <f t="shared" si="2"/>
        <v>2000</v>
      </c>
    </row>
    <row r="40" spans="2:7" ht="16">
      <c r="B40" s="120" t="s">
        <v>34</v>
      </c>
      <c r="C40" s="120"/>
      <c r="D40" s="13">
        <v>1</v>
      </c>
      <c r="E40" s="13">
        <v>1</v>
      </c>
      <c r="F40" s="10">
        <v>9500</v>
      </c>
      <c r="G40" s="10">
        <v>9500</v>
      </c>
    </row>
    <row r="41" spans="2:7" ht="16">
      <c r="B41" s="122" t="s">
        <v>12</v>
      </c>
      <c r="C41" s="122"/>
      <c r="D41" s="22"/>
      <c r="E41" s="22"/>
      <c r="F41" s="23"/>
      <c r="G41" s="23">
        <f t="shared" ref="G41" si="3">SUM(G33:G40)</f>
        <v>22500</v>
      </c>
    </row>
    <row r="42" spans="2:7" ht="16">
      <c r="B42" s="24"/>
      <c r="C42" s="1"/>
      <c r="D42" s="1"/>
      <c r="E42" s="1"/>
      <c r="F42" s="25"/>
      <c r="G42" s="25"/>
    </row>
    <row r="43" spans="2:7" ht="16" customHeight="1">
      <c r="B43" s="119" t="s">
        <v>35</v>
      </c>
      <c r="C43" s="119"/>
      <c r="D43" s="116" t="s">
        <v>2</v>
      </c>
      <c r="E43" s="116" t="s">
        <v>3</v>
      </c>
      <c r="F43" s="116" t="s">
        <v>4</v>
      </c>
      <c r="G43" s="117" t="s">
        <v>51</v>
      </c>
    </row>
    <row r="44" spans="2:7" ht="16">
      <c r="B44" s="119" t="s">
        <v>1</v>
      </c>
      <c r="C44" s="119"/>
      <c r="D44" s="116"/>
      <c r="E44" s="116"/>
      <c r="F44" s="116"/>
      <c r="G44" s="118"/>
    </row>
    <row r="45" spans="2:7" ht="16">
      <c r="B45" s="28" t="s">
        <v>36</v>
      </c>
      <c r="C45" s="29"/>
      <c r="D45" s="8">
        <v>1</v>
      </c>
      <c r="E45" s="8">
        <v>400</v>
      </c>
      <c r="F45" s="9">
        <v>18</v>
      </c>
      <c r="G45" s="9">
        <f>F45*E45*D45</f>
        <v>7200</v>
      </c>
    </row>
    <row r="46" spans="2:7" ht="16">
      <c r="B46" s="112" t="s">
        <v>37</v>
      </c>
      <c r="C46" s="113"/>
      <c r="D46" s="8">
        <v>1</v>
      </c>
      <c r="E46" s="8">
        <v>400</v>
      </c>
      <c r="F46" s="9">
        <v>22.5</v>
      </c>
      <c r="G46" s="9">
        <f>F46*E46*D46</f>
        <v>9000</v>
      </c>
    </row>
    <row r="47" spans="2:7" ht="16">
      <c r="B47" s="112" t="s">
        <v>47</v>
      </c>
      <c r="C47" s="113"/>
      <c r="D47" s="8">
        <v>1</v>
      </c>
      <c r="E47" s="8">
        <v>1</v>
      </c>
      <c r="F47" s="9">
        <v>5000</v>
      </c>
      <c r="G47" s="9">
        <v>5000</v>
      </c>
    </row>
    <row r="48" spans="2:7" ht="16">
      <c r="B48" s="112" t="s">
        <v>48</v>
      </c>
      <c r="C48" s="113"/>
      <c r="D48" s="8">
        <v>1</v>
      </c>
      <c r="E48" s="8">
        <v>1</v>
      </c>
      <c r="F48" s="9">
        <v>9000</v>
      </c>
      <c r="G48" s="9">
        <f>F48*E48*D48</f>
        <v>9000</v>
      </c>
    </row>
    <row r="49" spans="2:7" ht="16">
      <c r="B49" s="114" t="s">
        <v>12</v>
      </c>
      <c r="C49" s="115"/>
      <c r="D49" s="17"/>
      <c r="E49" s="17"/>
      <c r="F49" s="18"/>
      <c r="G49" s="18">
        <f t="shared" ref="G49" si="4">SUM(G45:G48)</f>
        <v>30200</v>
      </c>
    </row>
    <row r="50" spans="2:7" ht="16">
      <c r="B50" s="24"/>
      <c r="C50" s="1"/>
      <c r="D50" s="1"/>
      <c r="E50" s="1"/>
      <c r="F50" s="25"/>
      <c r="G50" s="25"/>
    </row>
    <row r="51" spans="2:7" ht="16" customHeight="1">
      <c r="B51" s="119" t="s">
        <v>38</v>
      </c>
      <c r="C51" s="119"/>
      <c r="D51" s="116" t="s">
        <v>2</v>
      </c>
      <c r="E51" s="116" t="s">
        <v>3</v>
      </c>
      <c r="F51" s="116" t="s">
        <v>4</v>
      </c>
      <c r="G51" s="117" t="s">
        <v>51</v>
      </c>
    </row>
    <row r="52" spans="2:7" s="7" customFormat="1" ht="16">
      <c r="B52" s="119" t="s">
        <v>1</v>
      </c>
      <c r="C52" s="119"/>
      <c r="D52" s="116"/>
      <c r="E52" s="116"/>
      <c r="F52" s="116"/>
      <c r="G52" s="118"/>
    </row>
    <row r="53" spans="2:7" ht="16">
      <c r="B53" s="112" t="s">
        <v>39</v>
      </c>
      <c r="C53" s="113"/>
      <c r="D53" s="8">
        <v>8</v>
      </c>
      <c r="E53" s="8">
        <v>250</v>
      </c>
      <c r="F53" s="9">
        <v>16</v>
      </c>
      <c r="G53" s="9">
        <f>F53*E53*D53</f>
        <v>32000</v>
      </c>
    </row>
    <row r="54" spans="2:7" ht="16">
      <c r="B54" s="112" t="s">
        <v>40</v>
      </c>
      <c r="C54" s="113"/>
      <c r="D54" s="8">
        <v>1</v>
      </c>
      <c r="E54" s="8">
        <v>200</v>
      </c>
      <c r="F54" s="9">
        <v>66</v>
      </c>
      <c r="G54" s="9">
        <f>F54*E54*D54</f>
        <v>13200</v>
      </c>
    </row>
    <row r="55" spans="2:7" ht="16">
      <c r="B55" s="114" t="s">
        <v>12</v>
      </c>
      <c r="C55" s="115"/>
      <c r="D55" s="17"/>
      <c r="E55" s="17"/>
      <c r="F55" s="18"/>
      <c r="G55" s="18">
        <f t="shared" ref="G55" si="5">SUM(G53:G54)</f>
        <v>45200</v>
      </c>
    </row>
    <row r="56" spans="2:7" ht="16">
      <c r="B56" s="2"/>
      <c r="C56" s="2"/>
      <c r="D56" s="2"/>
      <c r="E56" s="2"/>
      <c r="F56" s="3"/>
      <c r="G56" s="3"/>
    </row>
    <row r="57" spans="2:7" s="34" customFormat="1" ht="26" customHeight="1">
      <c r="B57" s="105" t="s">
        <v>41</v>
      </c>
      <c r="C57" s="106"/>
      <c r="D57" s="106"/>
      <c r="E57" s="106"/>
      <c r="F57" s="107"/>
      <c r="G57" s="33">
        <f>G9+G18+G29+G41+G49+G55</f>
        <v>218194.32</v>
      </c>
    </row>
    <row r="58" spans="2:7">
      <c r="B58" s="26"/>
      <c r="C58" s="26"/>
      <c r="D58" s="26"/>
      <c r="E58" s="26"/>
      <c r="F58" s="26"/>
      <c r="G58" s="26"/>
    </row>
    <row r="60" spans="2:7" ht="16">
      <c r="B60" s="108" t="s">
        <v>1</v>
      </c>
      <c r="C60" s="109"/>
      <c r="D60" s="109"/>
      <c r="E60" s="109"/>
      <c r="F60" s="110"/>
      <c r="G60" s="5" t="s">
        <v>5</v>
      </c>
    </row>
    <row r="61" spans="2:7" ht="16">
      <c r="B61" s="101" t="s">
        <v>0</v>
      </c>
      <c r="C61" s="101"/>
      <c r="D61" s="101"/>
      <c r="E61" s="101"/>
      <c r="F61" s="101"/>
      <c r="G61" s="9">
        <f>G9</f>
        <v>41000</v>
      </c>
    </row>
    <row r="62" spans="2:7" ht="16">
      <c r="B62" s="111" t="s">
        <v>13</v>
      </c>
      <c r="C62" s="111"/>
      <c r="D62" s="111"/>
      <c r="E62" s="111"/>
      <c r="F62" s="111"/>
      <c r="G62" s="9">
        <f>G18</f>
        <v>19534.320000000003</v>
      </c>
    </row>
    <row r="63" spans="2:7" ht="16">
      <c r="B63" s="101" t="s">
        <v>18</v>
      </c>
      <c r="C63" s="101"/>
      <c r="D63" s="101"/>
      <c r="E63" s="101"/>
      <c r="F63" s="101"/>
      <c r="G63" s="9">
        <f>G29</f>
        <v>59760</v>
      </c>
    </row>
    <row r="64" spans="2:7" ht="16">
      <c r="B64" s="101" t="s">
        <v>26</v>
      </c>
      <c r="C64" s="101"/>
      <c r="D64" s="101"/>
      <c r="E64" s="101"/>
      <c r="F64" s="101"/>
      <c r="G64" s="10">
        <f>G41</f>
        <v>22500</v>
      </c>
    </row>
    <row r="65" spans="2:7" s="2" customFormat="1" ht="16">
      <c r="B65" s="101" t="s">
        <v>42</v>
      </c>
      <c r="C65" s="101"/>
      <c r="D65" s="101"/>
      <c r="E65" s="101"/>
      <c r="F65" s="101"/>
      <c r="G65" s="10">
        <f>G49</f>
        <v>30200</v>
      </c>
    </row>
    <row r="66" spans="2:7" s="2" customFormat="1" ht="16">
      <c r="B66" s="101" t="s">
        <v>38</v>
      </c>
      <c r="C66" s="101"/>
      <c r="D66" s="101"/>
      <c r="E66" s="101"/>
      <c r="F66" s="101"/>
      <c r="G66" s="9">
        <f>G55</f>
        <v>45200</v>
      </c>
    </row>
    <row r="67" spans="2:7" ht="16">
      <c r="B67" s="102" t="s">
        <v>43</v>
      </c>
      <c r="C67" s="103"/>
      <c r="D67" s="103"/>
      <c r="E67" s="103"/>
      <c r="F67" s="104"/>
      <c r="G67" s="18">
        <f t="shared" ref="G67" si="6">SUM(G61:G66)</f>
        <v>218194.32</v>
      </c>
    </row>
  </sheetData>
  <mergeCells count="81">
    <mergeCell ref="F2:F3"/>
    <mergeCell ref="G2:G3"/>
    <mergeCell ref="B3:C3"/>
    <mergeCell ref="B4:C4"/>
    <mergeCell ref="B2:C2"/>
    <mergeCell ref="D2:D3"/>
    <mergeCell ref="E2:E3"/>
    <mergeCell ref="G11:G12"/>
    <mergeCell ref="B5:C5"/>
    <mergeCell ref="B6:C6"/>
    <mergeCell ref="B7:C7"/>
    <mergeCell ref="B8:C8"/>
    <mergeCell ref="B9:C9"/>
    <mergeCell ref="B11:C11"/>
    <mergeCell ref="B12:C12"/>
    <mergeCell ref="B13:C13"/>
    <mergeCell ref="B14:C14"/>
    <mergeCell ref="D11:D12"/>
    <mergeCell ref="E11:E12"/>
    <mergeCell ref="F20:F21"/>
    <mergeCell ref="F11:F12"/>
    <mergeCell ref="G20:G21"/>
    <mergeCell ref="B15:C15"/>
    <mergeCell ref="B16:C16"/>
    <mergeCell ref="B17:C17"/>
    <mergeCell ref="B18:C18"/>
    <mergeCell ref="B20:C20"/>
    <mergeCell ref="D20:D21"/>
    <mergeCell ref="B21:C21"/>
    <mergeCell ref="B22:C22"/>
    <mergeCell ref="B23:C23"/>
    <mergeCell ref="B24:C24"/>
    <mergeCell ref="E20:E21"/>
    <mergeCell ref="F31:F32"/>
    <mergeCell ref="G31:G32"/>
    <mergeCell ref="B25:C25"/>
    <mergeCell ref="B26:C26"/>
    <mergeCell ref="B27:C27"/>
    <mergeCell ref="B28:C28"/>
    <mergeCell ref="B29:C29"/>
    <mergeCell ref="B31:C31"/>
    <mergeCell ref="B32:C32"/>
    <mergeCell ref="B33:C33"/>
    <mergeCell ref="B34:C34"/>
    <mergeCell ref="D31:D32"/>
    <mergeCell ref="E31:E32"/>
    <mergeCell ref="F43:F44"/>
    <mergeCell ref="G43:G44"/>
    <mergeCell ref="B35:C35"/>
    <mergeCell ref="B36:C36"/>
    <mergeCell ref="B37:C37"/>
    <mergeCell ref="B38:C38"/>
    <mergeCell ref="B39:C39"/>
    <mergeCell ref="B40:C40"/>
    <mergeCell ref="B44:C44"/>
    <mergeCell ref="B41:C41"/>
    <mergeCell ref="B43:C43"/>
    <mergeCell ref="D43:D44"/>
    <mergeCell ref="E43:E44"/>
    <mergeCell ref="G51:G52"/>
    <mergeCell ref="B46:C46"/>
    <mergeCell ref="B47:C47"/>
    <mergeCell ref="B48:C48"/>
    <mergeCell ref="B49:C49"/>
    <mergeCell ref="B51:C51"/>
    <mergeCell ref="D51:D52"/>
    <mergeCell ref="B52:C52"/>
    <mergeCell ref="B53:C53"/>
    <mergeCell ref="B54:C54"/>
    <mergeCell ref="B55:C55"/>
    <mergeCell ref="E51:E52"/>
    <mergeCell ref="B65:F65"/>
    <mergeCell ref="F51:F52"/>
    <mergeCell ref="B66:F66"/>
    <mergeCell ref="B67:F67"/>
    <mergeCell ref="B57:F57"/>
    <mergeCell ref="B60:F60"/>
    <mergeCell ref="B61:F61"/>
    <mergeCell ref="B62:F62"/>
    <mergeCell ref="B63:F63"/>
    <mergeCell ref="B64:F64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69"/>
  <sheetViews>
    <sheetView topLeftCell="B1" workbookViewId="0">
      <selection activeCell="G27" sqref="G27"/>
    </sheetView>
  </sheetViews>
  <sheetFormatPr baseColWidth="10" defaultColWidth="8.83203125" defaultRowHeight="15" x14ac:dyDescent="0"/>
  <cols>
    <col min="1" max="1" width="10.6640625" hidden="1" customWidth="1"/>
    <col min="2" max="2" width="28.1640625" customWidth="1"/>
    <col min="3" max="3" width="25.83203125" customWidth="1"/>
    <col min="4" max="4" width="7.5" customWidth="1"/>
    <col min="5" max="5" width="7.83203125" customWidth="1"/>
    <col min="6" max="6" width="11" customWidth="1"/>
    <col min="7" max="7" width="13.83203125" customWidth="1"/>
    <col min="8" max="17" width="13.6640625" customWidth="1"/>
  </cols>
  <sheetData>
    <row r="2" spans="2:17" ht="16" customHeight="1">
      <c r="B2" s="119" t="s">
        <v>0</v>
      </c>
      <c r="C2" s="119"/>
      <c r="D2" s="116" t="s">
        <v>2</v>
      </c>
      <c r="E2" s="116" t="s">
        <v>3</v>
      </c>
      <c r="F2" s="116" t="s">
        <v>4</v>
      </c>
      <c r="G2" s="117" t="s">
        <v>51</v>
      </c>
      <c r="H2" s="133" t="s">
        <v>6</v>
      </c>
      <c r="I2" s="134"/>
      <c r="J2" s="133" t="s">
        <v>45</v>
      </c>
      <c r="K2" s="134"/>
      <c r="L2" s="133" t="s">
        <v>46</v>
      </c>
      <c r="M2" s="134"/>
      <c r="N2" s="133" t="s">
        <v>44</v>
      </c>
      <c r="O2" s="135"/>
      <c r="P2" s="117" t="s">
        <v>53</v>
      </c>
      <c r="Q2" s="117" t="s">
        <v>52</v>
      </c>
    </row>
    <row r="3" spans="2:17" s="7" customFormat="1" ht="16">
      <c r="B3" s="119" t="s">
        <v>1</v>
      </c>
      <c r="C3" s="119"/>
      <c r="D3" s="116"/>
      <c r="E3" s="116"/>
      <c r="F3" s="116"/>
      <c r="G3" s="118"/>
      <c r="H3" s="6" t="s">
        <v>49</v>
      </c>
      <c r="I3" s="6" t="s">
        <v>50</v>
      </c>
      <c r="J3" s="6" t="s">
        <v>49</v>
      </c>
      <c r="K3" s="6" t="s">
        <v>50</v>
      </c>
      <c r="L3" s="6" t="s">
        <v>49</v>
      </c>
      <c r="M3" s="6" t="s">
        <v>50</v>
      </c>
      <c r="N3" s="6" t="s">
        <v>49</v>
      </c>
      <c r="O3" s="6" t="s">
        <v>50</v>
      </c>
      <c r="P3" s="118"/>
      <c r="Q3" s="118"/>
    </row>
    <row r="4" spans="2:17" ht="16">
      <c r="B4" s="120" t="s">
        <v>7</v>
      </c>
      <c r="C4" s="120"/>
      <c r="D4" s="8">
        <f>Simples!D4</f>
        <v>2</v>
      </c>
      <c r="E4" s="8">
        <f>Simples!E4</f>
        <v>2</v>
      </c>
      <c r="F4" s="9">
        <v>3750</v>
      </c>
      <c r="G4" s="10">
        <f>F4*E4*D4</f>
        <v>15000</v>
      </c>
      <c r="H4" s="11">
        <v>0</v>
      </c>
      <c r="I4" s="11">
        <v>0</v>
      </c>
      <c r="J4" s="43">
        <v>7000</v>
      </c>
      <c r="K4" s="11">
        <v>0</v>
      </c>
      <c r="L4" s="11">
        <v>0</v>
      </c>
      <c r="M4" s="11">
        <v>0</v>
      </c>
      <c r="N4" s="11">
        <v>7000</v>
      </c>
      <c r="O4" s="42">
        <v>7000</v>
      </c>
      <c r="P4" s="16">
        <f t="shared" ref="P4:Q8" si="0">H4+J4+L4+N4</f>
        <v>14000</v>
      </c>
      <c r="Q4" s="16">
        <f t="shared" si="0"/>
        <v>7000</v>
      </c>
    </row>
    <row r="5" spans="2:17" ht="16">
      <c r="B5" s="120" t="s">
        <v>8</v>
      </c>
      <c r="C5" s="120"/>
      <c r="D5" s="8">
        <f>Simples!D5</f>
        <v>3</v>
      </c>
      <c r="E5" s="8">
        <f>Simples!E5</f>
        <v>2</v>
      </c>
      <c r="F5" s="9">
        <f>Simples!F5</f>
        <v>1000</v>
      </c>
      <c r="G5" s="10">
        <f>F5*E5*D5</f>
        <v>6000</v>
      </c>
      <c r="H5" s="11">
        <v>0</v>
      </c>
      <c r="I5" s="11">
        <v>0</v>
      </c>
      <c r="J5" s="43">
        <v>0</v>
      </c>
      <c r="K5" s="11">
        <v>0</v>
      </c>
      <c r="L5" s="11">
        <v>0</v>
      </c>
      <c r="M5" s="11">
        <v>0</v>
      </c>
      <c r="N5" s="11">
        <v>0</v>
      </c>
      <c r="O5" s="11">
        <v>0</v>
      </c>
      <c r="P5" s="16">
        <f t="shared" si="0"/>
        <v>0</v>
      </c>
      <c r="Q5" s="16">
        <f t="shared" si="0"/>
        <v>0</v>
      </c>
    </row>
    <row r="6" spans="2:17" ht="16">
      <c r="B6" s="136" t="s">
        <v>9</v>
      </c>
      <c r="C6" s="136"/>
      <c r="D6" s="8">
        <f>Simples!D6</f>
        <v>4</v>
      </c>
      <c r="E6" s="8">
        <f>Simples!E6</f>
        <v>2</v>
      </c>
      <c r="F6" s="9">
        <f>Simples!F6</f>
        <v>1000</v>
      </c>
      <c r="G6" s="10">
        <f>F6*E6*D6</f>
        <v>8000</v>
      </c>
      <c r="H6" s="11">
        <v>0</v>
      </c>
      <c r="I6" s="11">
        <v>0</v>
      </c>
      <c r="J6" s="43">
        <v>7000</v>
      </c>
      <c r="K6" s="11">
        <v>0</v>
      </c>
      <c r="L6" s="11">
        <v>0</v>
      </c>
      <c r="M6" s="11">
        <v>0</v>
      </c>
      <c r="N6" s="11">
        <f>G6</f>
        <v>8000</v>
      </c>
      <c r="O6" s="42">
        <v>8000</v>
      </c>
      <c r="P6" s="16">
        <f t="shared" si="0"/>
        <v>15000</v>
      </c>
      <c r="Q6" s="16">
        <f t="shared" si="0"/>
        <v>8000</v>
      </c>
    </row>
    <row r="7" spans="2:17" ht="16">
      <c r="B7" s="149" t="s">
        <v>10</v>
      </c>
      <c r="C7" s="149"/>
      <c r="D7" s="8">
        <f>Simples!D7</f>
        <v>2</v>
      </c>
      <c r="E7" s="8">
        <f>Simples!E7</f>
        <v>2</v>
      </c>
      <c r="F7" s="9">
        <f>Simples!F7</f>
        <v>1750</v>
      </c>
      <c r="G7" s="10">
        <f>F7*E7*D7</f>
        <v>7000</v>
      </c>
      <c r="H7" s="11">
        <v>0</v>
      </c>
      <c r="I7" s="11">
        <v>0</v>
      </c>
      <c r="J7" s="43">
        <f>2500+3500</f>
        <v>6000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  <c r="P7" s="16">
        <f t="shared" si="0"/>
        <v>6000</v>
      </c>
      <c r="Q7" s="16">
        <f t="shared" si="0"/>
        <v>0</v>
      </c>
    </row>
    <row r="8" spans="2:17" ht="16">
      <c r="B8" s="136" t="s">
        <v>11</v>
      </c>
      <c r="C8" s="136"/>
      <c r="D8" s="8">
        <f>Simples!D8</f>
        <v>4</v>
      </c>
      <c r="E8" s="8">
        <f>Simples!E8</f>
        <v>2</v>
      </c>
      <c r="F8" s="9">
        <f>Simples!F8</f>
        <v>1000</v>
      </c>
      <c r="G8" s="10">
        <f>F8*E8*D8</f>
        <v>8000</v>
      </c>
      <c r="H8" s="11">
        <v>0</v>
      </c>
      <c r="I8" s="11">
        <v>0</v>
      </c>
      <c r="J8" s="43">
        <v>0</v>
      </c>
      <c r="K8" s="11">
        <v>0</v>
      </c>
      <c r="L8" s="11">
        <v>0</v>
      </c>
      <c r="M8" s="11">
        <v>0</v>
      </c>
      <c r="N8" s="11">
        <f>G8</f>
        <v>8000</v>
      </c>
      <c r="O8" s="11">
        <v>0</v>
      </c>
      <c r="P8" s="16">
        <f t="shared" si="0"/>
        <v>8000</v>
      </c>
      <c r="Q8" s="16">
        <f t="shared" si="0"/>
        <v>0</v>
      </c>
    </row>
    <row r="9" spans="2:17" ht="16">
      <c r="B9" s="114" t="s">
        <v>12</v>
      </c>
      <c r="C9" s="115"/>
      <c r="D9" s="4"/>
      <c r="E9" s="4"/>
      <c r="F9" s="12"/>
      <c r="G9" s="12">
        <f>SUM(G4:G8)</f>
        <v>44000</v>
      </c>
      <c r="H9" s="12">
        <f>SUM(H4:H8)</f>
        <v>0</v>
      </c>
      <c r="I9" s="12">
        <f>SUM(I4:I8)</f>
        <v>0</v>
      </c>
      <c r="J9" s="12">
        <f>SUM(J4:J8)</f>
        <v>20000</v>
      </c>
      <c r="K9" s="12">
        <f t="shared" ref="K9:Q9" si="1">SUM(K4:K8)</f>
        <v>0</v>
      </c>
      <c r="L9" s="12">
        <f t="shared" si="1"/>
        <v>0</v>
      </c>
      <c r="M9" s="12">
        <f t="shared" si="1"/>
        <v>0</v>
      </c>
      <c r="N9" s="12">
        <f t="shared" si="1"/>
        <v>23000</v>
      </c>
      <c r="O9" s="12">
        <f t="shared" si="1"/>
        <v>15000</v>
      </c>
      <c r="P9" s="12">
        <f t="shared" si="1"/>
        <v>43000</v>
      </c>
      <c r="Q9" s="12">
        <f t="shared" si="1"/>
        <v>15000</v>
      </c>
    </row>
    <row r="10" spans="2:17" ht="16">
      <c r="B10" s="2"/>
      <c r="C10" s="2"/>
      <c r="D10" s="2"/>
      <c r="E10" s="2"/>
      <c r="F10" s="3"/>
      <c r="G10" s="2"/>
      <c r="H10" s="3"/>
      <c r="I10" s="3"/>
      <c r="J10" s="3"/>
      <c r="K10" s="3"/>
      <c r="L10" s="3"/>
      <c r="M10" s="3"/>
      <c r="N10" s="3"/>
      <c r="O10" s="3"/>
    </row>
    <row r="11" spans="2:17" ht="16" customHeight="1">
      <c r="B11" s="119" t="s">
        <v>13</v>
      </c>
      <c r="C11" s="119"/>
      <c r="D11" s="116" t="s">
        <v>2</v>
      </c>
      <c r="E11" s="116" t="s">
        <v>3</v>
      </c>
      <c r="F11" s="116" t="s">
        <v>4</v>
      </c>
      <c r="G11" s="117" t="s">
        <v>51</v>
      </c>
      <c r="H11" s="133" t="s">
        <v>6</v>
      </c>
      <c r="I11" s="134"/>
      <c r="J11" s="133" t="s">
        <v>45</v>
      </c>
      <c r="K11" s="134"/>
      <c r="L11" s="133" t="s">
        <v>46</v>
      </c>
      <c r="M11" s="134"/>
      <c r="N11" s="133" t="s">
        <v>44</v>
      </c>
      <c r="O11" s="135"/>
      <c r="P11" s="117" t="s">
        <v>53</v>
      </c>
      <c r="Q11" s="117" t="s">
        <v>52</v>
      </c>
    </row>
    <row r="12" spans="2:17" s="7" customFormat="1" ht="16">
      <c r="B12" s="119" t="s">
        <v>1</v>
      </c>
      <c r="C12" s="119"/>
      <c r="D12" s="116"/>
      <c r="E12" s="116"/>
      <c r="F12" s="116"/>
      <c r="G12" s="118"/>
      <c r="H12" s="6" t="s">
        <v>49</v>
      </c>
      <c r="I12" s="6" t="s">
        <v>50</v>
      </c>
      <c r="J12" s="6" t="s">
        <v>49</v>
      </c>
      <c r="K12" s="6" t="s">
        <v>50</v>
      </c>
      <c r="L12" s="6" t="s">
        <v>49</v>
      </c>
      <c r="M12" s="6" t="s">
        <v>50</v>
      </c>
      <c r="N12" s="6" t="s">
        <v>49</v>
      </c>
      <c r="O12" s="6" t="s">
        <v>50</v>
      </c>
      <c r="P12" s="118"/>
      <c r="Q12" s="118"/>
    </row>
    <row r="13" spans="2:17" ht="16">
      <c r="B13" s="123" t="s">
        <v>14</v>
      </c>
      <c r="C13" s="124"/>
      <c r="D13" s="13">
        <v>2</v>
      </c>
      <c r="E13" s="13">
        <v>8</v>
      </c>
      <c r="F13" s="10">
        <v>187.83</v>
      </c>
      <c r="G13" s="10">
        <f>F13*E13*D13</f>
        <v>3005.28</v>
      </c>
      <c r="H13" s="11">
        <v>0</v>
      </c>
      <c r="I13" s="11">
        <v>0</v>
      </c>
      <c r="J13" s="11">
        <v>3005.28</v>
      </c>
      <c r="K13" s="11">
        <v>0</v>
      </c>
      <c r="L13" s="11">
        <v>0</v>
      </c>
      <c r="M13" s="11">
        <v>0</v>
      </c>
      <c r="N13" s="11">
        <f>G13</f>
        <v>3005.28</v>
      </c>
      <c r="O13" s="11">
        <v>0</v>
      </c>
      <c r="P13" s="16">
        <f t="shared" ref="P13:Q17" si="2">H13+J13+L13+N13</f>
        <v>6010.56</v>
      </c>
      <c r="Q13" s="16">
        <f t="shared" si="2"/>
        <v>0</v>
      </c>
    </row>
    <row r="14" spans="2:17" ht="16">
      <c r="B14" s="123" t="s">
        <v>15</v>
      </c>
      <c r="C14" s="124"/>
      <c r="D14" s="13">
        <v>3</v>
      </c>
      <c r="E14" s="13">
        <v>8</v>
      </c>
      <c r="F14" s="10">
        <v>187.83</v>
      </c>
      <c r="G14" s="10">
        <f>F14*E14*D14</f>
        <v>4507.92</v>
      </c>
      <c r="H14" s="11">
        <v>0</v>
      </c>
      <c r="I14" s="11">
        <v>0</v>
      </c>
      <c r="J14" s="11">
        <v>1502.64</v>
      </c>
      <c r="K14" s="11">
        <v>0</v>
      </c>
      <c r="L14" s="11">
        <v>0</v>
      </c>
      <c r="M14" s="11">
        <v>0</v>
      </c>
      <c r="N14" s="11">
        <v>0</v>
      </c>
      <c r="O14" s="11">
        <v>0</v>
      </c>
      <c r="P14" s="16">
        <f t="shared" si="2"/>
        <v>1502.64</v>
      </c>
      <c r="Q14" s="16">
        <f t="shared" si="2"/>
        <v>0</v>
      </c>
    </row>
    <row r="15" spans="2:17" ht="16">
      <c r="B15" s="123" t="s">
        <v>9</v>
      </c>
      <c r="C15" s="124"/>
      <c r="D15" s="13">
        <v>4</v>
      </c>
      <c r="E15" s="13">
        <v>4</v>
      </c>
      <c r="F15" s="10">
        <v>187.83</v>
      </c>
      <c r="G15" s="10">
        <f>F15*E15*D15</f>
        <v>3005.28</v>
      </c>
      <c r="H15" s="11">
        <v>0</v>
      </c>
      <c r="I15" s="11">
        <v>0</v>
      </c>
      <c r="J15" s="11">
        <v>3005.28</v>
      </c>
      <c r="K15" s="11">
        <v>0</v>
      </c>
      <c r="L15" s="11">
        <v>0</v>
      </c>
      <c r="M15" s="11">
        <v>0</v>
      </c>
      <c r="N15" s="11">
        <f>G15</f>
        <v>3005.28</v>
      </c>
      <c r="O15" s="11">
        <v>0</v>
      </c>
      <c r="P15" s="16">
        <f t="shared" si="2"/>
        <v>6010.56</v>
      </c>
      <c r="Q15" s="16">
        <f t="shared" si="2"/>
        <v>0</v>
      </c>
    </row>
    <row r="16" spans="2:17" ht="16">
      <c r="B16" s="123" t="s">
        <v>16</v>
      </c>
      <c r="C16" s="124"/>
      <c r="D16" s="13">
        <v>2</v>
      </c>
      <c r="E16" s="13">
        <v>8</v>
      </c>
      <c r="F16" s="10">
        <v>187.83</v>
      </c>
      <c r="G16" s="10">
        <f>F16*E16*D16</f>
        <v>3005.28</v>
      </c>
      <c r="H16" s="11">
        <v>0</v>
      </c>
      <c r="I16" s="11">
        <v>0</v>
      </c>
      <c r="J16" s="11">
        <v>1502.64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6">
        <f t="shared" si="2"/>
        <v>1502.64</v>
      </c>
      <c r="Q16" s="16">
        <f t="shared" si="2"/>
        <v>0</v>
      </c>
    </row>
    <row r="17" spans="2:17" ht="16">
      <c r="B17" s="123" t="s">
        <v>17</v>
      </c>
      <c r="C17" s="124"/>
      <c r="D17" s="13">
        <v>4</v>
      </c>
      <c r="E17" s="13">
        <v>8</v>
      </c>
      <c r="F17" s="10">
        <v>187.83</v>
      </c>
      <c r="G17" s="10">
        <f>F17*E17*D17</f>
        <v>6010.56</v>
      </c>
      <c r="H17" s="11">
        <v>0</v>
      </c>
      <c r="I17" s="11">
        <v>0</v>
      </c>
      <c r="J17" s="11">
        <v>3005.28</v>
      </c>
      <c r="K17" s="11">
        <v>0</v>
      </c>
      <c r="L17" s="11">
        <v>0</v>
      </c>
      <c r="M17" s="11">
        <v>0</v>
      </c>
      <c r="N17" s="11">
        <f>G17</f>
        <v>6010.56</v>
      </c>
      <c r="O17" s="11">
        <v>0</v>
      </c>
      <c r="P17" s="16">
        <f t="shared" si="2"/>
        <v>9015.84</v>
      </c>
      <c r="Q17" s="16">
        <f t="shared" si="2"/>
        <v>0</v>
      </c>
    </row>
    <row r="18" spans="2:17" ht="16">
      <c r="B18" s="114" t="s">
        <v>12</v>
      </c>
      <c r="C18" s="115"/>
      <c r="D18" s="14"/>
      <c r="E18" s="14"/>
      <c r="F18" s="15"/>
      <c r="G18" s="12">
        <f t="shared" ref="G18:Q18" si="3">SUM(G13:G17)</f>
        <v>19534.320000000003</v>
      </c>
      <c r="H18" s="12">
        <f t="shared" si="3"/>
        <v>0</v>
      </c>
      <c r="I18" s="12">
        <f t="shared" si="3"/>
        <v>0</v>
      </c>
      <c r="J18" s="12">
        <f t="shared" si="3"/>
        <v>12021.12</v>
      </c>
      <c r="K18" s="12">
        <f t="shared" si="3"/>
        <v>0</v>
      </c>
      <c r="L18" s="12">
        <f t="shared" si="3"/>
        <v>0</v>
      </c>
      <c r="M18" s="12">
        <f t="shared" si="3"/>
        <v>0</v>
      </c>
      <c r="N18" s="12">
        <f t="shared" si="3"/>
        <v>12021.12</v>
      </c>
      <c r="O18" s="12">
        <f t="shared" si="3"/>
        <v>0</v>
      </c>
      <c r="P18" s="12">
        <f t="shared" si="3"/>
        <v>24042.240000000002</v>
      </c>
      <c r="Q18" s="12">
        <f t="shared" si="3"/>
        <v>0</v>
      </c>
    </row>
    <row r="19" spans="2:17" ht="16">
      <c r="B19" s="2"/>
      <c r="C19" s="2"/>
      <c r="D19" s="2"/>
      <c r="E19" s="2"/>
      <c r="F19" s="3"/>
      <c r="G19" s="2"/>
      <c r="H19" s="3"/>
      <c r="I19" s="3"/>
      <c r="J19" s="3"/>
      <c r="K19" s="3"/>
      <c r="L19" s="3"/>
      <c r="M19" s="3"/>
      <c r="N19" s="3"/>
      <c r="O19" s="3"/>
    </row>
    <row r="20" spans="2:17" ht="16" customHeight="1">
      <c r="B20" s="119" t="s">
        <v>18</v>
      </c>
      <c r="C20" s="119"/>
      <c r="D20" s="116" t="s">
        <v>2</v>
      </c>
      <c r="E20" s="116" t="s">
        <v>3</v>
      </c>
      <c r="F20" s="116" t="s">
        <v>4</v>
      </c>
      <c r="G20" s="117" t="s">
        <v>51</v>
      </c>
      <c r="H20" s="133" t="s">
        <v>6</v>
      </c>
      <c r="I20" s="134"/>
      <c r="J20" s="133" t="s">
        <v>45</v>
      </c>
      <c r="K20" s="134"/>
      <c r="L20" s="133" t="s">
        <v>46</v>
      </c>
      <c r="M20" s="134"/>
      <c r="N20" s="133" t="s">
        <v>44</v>
      </c>
      <c r="O20" s="135"/>
      <c r="P20" s="117" t="s">
        <v>53</v>
      </c>
      <c r="Q20" s="117" t="s">
        <v>52</v>
      </c>
    </row>
    <row r="21" spans="2:17" s="7" customFormat="1" ht="16">
      <c r="B21" s="119" t="s">
        <v>1</v>
      </c>
      <c r="C21" s="119"/>
      <c r="D21" s="116"/>
      <c r="E21" s="116"/>
      <c r="F21" s="116"/>
      <c r="G21" s="118"/>
      <c r="H21" s="6" t="s">
        <v>49</v>
      </c>
      <c r="I21" s="6" t="s">
        <v>50</v>
      </c>
      <c r="J21" s="6" t="s">
        <v>49</v>
      </c>
      <c r="K21" s="6" t="s">
        <v>50</v>
      </c>
      <c r="L21" s="6" t="s">
        <v>49</v>
      </c>
      <c r="M21" s="6" t="s">
        <v>50</v>
      </c>
      <c r="N21" s="6" t="s">
        <v>49</v>
      </c>
      <c r="O21" s="6" t="s">
        <v>50</v>
      </c>
      <c r="P21" s="118"/>
      <c r="Q21" s="118"/>
    </row>
    <row r="22" spans="2:17" ht="16">
      <c r="B22" s="123" t="s">
        <v>19</v>
      </c>
      <c r="C22" s="124"/>
      <c r="D22" s="13">
        <v>4</v>
      </c>
      <c r="E22" s="13">
        <v>4</v>
      </c>
      <c r="F22" s="10">
        <v>2340</v>
      </c>
      <c r="G22" s="10">
        <f>D22*E22*F22</f>
        <v>37440</v>
      </c>
      <c r="H22" s="11">
        <v>0</v>
      </c>
      <c r="I22" s="11">
        <v>0</v>
      </c>
      <c r="J22" s="11">
        <v>22000</v>
      </c>
      <c r="K22" s="42">
        <v>22000</v>
      </c>
      <c r="L22" s="11">
        <v>42000</v>
      </c>
      <c r="M22" s="42">
        <v>42000</v>
      </c>
      <c r="N22" s="11">
        <f>G22</f>
        <v>37440</v>
      </c>
      <c r="O22" s="11">
        <v>0</v>
      </c>
      <c r="P22" s="16">
        <f t="shared" ref="P22:Q28" si="4">H22+J22+L22+N22</f>
        <v>101440</v>
      </c>
      <c r="Q22" s="44">
        <f t="shared" si="4"/>
        <v>64000</v>
      </c>
    </row>
    <row r="23" spans="2:17" ht="16">
      <c r="B23" s="123" t="s">
        <v>20</v>
      </c>
      <c r="C23" s="124"/>
      <c r="D23" s="13">
        <v>4</v>
      </c>
      <c r="E23" s="13">
        <v>4</v>
      </c>
      <c r="F23" s="10">
        <v>250</v>
      </c>
      <c r="G23" s="10">
        <f t="shared" ref="G23:G28" si="5">F23*E23*D23</f>
        <v>4000</v>
      </c>
      <c r="H23" s="16">
        <v>4250</v>
      </c>
      <c r="I23" s="31">
        <v>4250</v>
      </c>
      <c r="J23" s="16">
        <v>0</v>
      </c>
      <c r="K23" s="16">
        <v>0</v>
      </c>
      <c r="L23" s="16">
        <v>6000</v>
      </c>
      <c r="M23" s="44">
        <v>6000</v>
      </c>
      <c r="N23" s="16">
        <v>0</v>
      </c>
      <c r="O23" s="16">
        <v>0</v>
      </c>
      <c r="P23" s="16">
        <f t="shared" si="4"/>
        <v>10250</v>
      </c>
      <c r="Q23" s="44">
        <f t="shared" si="4"/>
        <v>10250</v>
      </c>
    </row>
    <row r="24" spans="2:17" ht="16">
      <c r="B24" s="123" t="s">
        <v>21</v>
      </c>
      <c r="C24" s="124"/>
      <c r="D24" s="13">
        <v>10</v>
      </c>
      <c r="E24" s="13">
        <v>4</v>
      </c>
      <c r="F24" s="10">
        <v>50</v>
      </c>
      <c r="G24" s="10">
        <f t="shared" si="5"/>
        <v>2000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f t="shared" si="4"/>
        <v>0</v>
      </c>
      <c r="Q24" s="16">
        <f t="shared" si="4"/>
        <v>0</v>
      </c>
    </row>
    <row r="25" spans="2:17" ht="16">
      <c r="B25" s="137" t="s">
        <v>22</v>
      </c>
      <c r="C25" s="138"/>
      <c r="D25" s="13">
        <v>1</v>
      </c>
      <c r="E25" s="13">
        <v>4</v>
      </c>
      <c r="F25" s="10">
        <v>1750</v>
      </c>
      <c r="G25" s="10">
        <f t="shared" si="5"/>
        <v>7000</v>
      </c>
      <c r="H25" s="16">
        <v>0</v>
      </c>
      <c r="I25" s="16">
        <v>0</v>
      </c>
      <c r="J25" s="16">
        <v>4000</v>
      </c>
      <c r="K25" s="44">
        <v>4000</v>
      </c>
      <c r="L25" s="16">
        <v>6000</v>
      </c>
      <c r="M25" s="44">
        <v>6000</v>
      </c>
      <c r="N25" s="16">
        <f>G25</f>
        <v>7000</v>
      </c>
      <c r="O25" s="16">
        <v>0</v>
      </c>
      <c r="P25" s="16">
        <f t="shared" si="4"/>
        <v>17000</v>
      </c>
      <c r="Q25" s="44">
        <f t="shared" si="4"/>
        <v>10000</v>
      </c>
    </row>
    <row r="26" spans="2:17" ht="16">
      <c r="B26" s="139" t="s">
        <v>23</v>
      </c>
      <c r="C26" s="140"/>
      <c r="D26" s="13">
        <v>4</v>
      </c>
      <c r="E26" s="13">
        <v>4</v>
      </c>
      <c r="F26" s="10">
        <v>100</v>
      </c>
      <c r="G26" s="10">
        <f t="shared" si="5"/>
        <v>1600</v>
      </c>
      <c r="H26" s="16">
        <v>1250</v>
      </c>
      <c r="I26" s="31">
        <v>1250</v>
      </c>
      <c r="J26" s="16">
        <v>0</v>
      </c>
      <c r="K26" s="16">
        <v>0</v>
      </c>
      <c r="L26" s="16">
        <v>1000</v>
      </c>
      <c r="M26" s="44">
        <v>1000</v>
      </c>
      <c r="N26" s="16">
        <v>0</v>
      </c>
      <c r="O26" s="16">
        <v>0</v>
      </c>
      <c r="P26" s="16">
        <f t="shared" si="4"/>
        <v>2250</v>
      </c>
      <c r="Q26" s="44">
        <f t="shared" si="4"/>
        <v>2250</v>
      </c>
    </row>
    <row r="27" spans="2:17" ht="16">
      <c r="B27" s="123" t="s">
        <v>24</v>
      </c>
      <c r="C27" s="124"/>
      <c r="D27" s="13">
        <v>17</v>
      </c>
      <c r="E27" s="13">
        <v>2</v>
      </c>
      <c r="F27" s="10">
        <v>80</v>
      </c>
      <c r="G27" s="10">
        <f t="shared" si="5"/>
        <v>2720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f t="shared" si="4"/>
        <v>0</v>
      </c>
      <c r="Q27" s="16">
        <f t="shared" si="4"/>
        <v>0</v>
      </c>
    </row>
    <row r="28" spans="2:17" ht="16">
      <c r="B28" s="123" t="s">
        <v>25</v>
      </c>
      <c r="C28" s="124"/>
      <c r="D28" s="13">
        <v>1</v>
      </c>
      <c r="E28" s="13">
        <v>4</v>
      </c>
      <c r="F28" s="10">
        <v>1250</v>
      </c>
      <c r="G28" s="10">
        <f t="shared" si="5"/>
        <v>5000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f t="shared" si="4"/>
        <v>0</v>
      </c>
      <c r="Q28" s="16">
        <f t="shared" si="4"/>
        <v>0</v>
      </c>
    </row>
    <row r="29" spans="2:17" ht="16">
      <c r="B29" s="114" t="s">
        <v>12</v>
      </c>
      <c r="C29" s="115"/>
      <c r="D29" s="17"/>
      <c r="E29" s="17"/>
      <c r="F29" s="18"/>
      <c r="G29" s="18">
        <f>SUM(G22:G28)</f>
        <v>59760</v>
      </c>
      <c r="H29" s="12">
        <f t="shared" ref="H29:O29" si="6">SUM(H20:H28)</f>
        <v>5500</v>
      </c>
      <c r="I29" s="12">
        <f t="shared" si="6"/>
        <v>5500</v>
      </c>
      <c r="J29" s="12">
        <f t="shared" si="6"/>
        <v>26000</v>
      </c>
      <c r="K29" s="12">
        <f t="shared" si="6"/>
        <v>26000</v>
      </c>
      <c r="L29" s="12">
        <f t="shared" si="6"/>
        <v>55000</v>
      </c>
      <c r="M29" s="12">
        <f t="shared" si="6"/>
        <v>55000</v>
      </c>
      <c r="N29" s="12">
        <f t="shared" si="6"/>
        <v>44440</v>
      </c>
      <c r="O29" s="12">
        <f t="shared" si="6"/>
        <v>0</v>
      </c>
      <c r="P29" s="12">
        <f>SUM(P22:P28)</f>
        <v>130940</v>
      </c>
      <c r="Q29" s="12">
        <f>SUM(Q22:Q28)</f>
        <v>86500</v>
      </c>
    </row>
    <row r="30" spans="2:17" ht="16">
      <c r="B30" s="19"/>
      <c r="C30" s="19"/>
      <c r="D30" s="19"/>
      <c r="E30" s="19"/>
      <c r="F30" s="20"/>
      <c r="G30" s="20"/>
      <c r="H30" s="21"/>
      <c r="I30" s="21"/>
      <c r="J30" s="21"/>
      <c r="K30" s="21"/>
      <c r="L30" s="21"/>
      <c r="M30" s="21"/>
      <c r="N30" s="21"/>
      <c r="O30" s="21"/>
    </row>
    <row r="31" spans="2:17" ht="16" customHeight="1">
      <c r="B31" s="119" t="s">
        <v>26</v>
      </c>
      <c r="C31" s="119"/>
      <c r="D31" s="116" t="s">
        <v>2</v>
      </c>
      <c r="E31" s="116" t="s">
        <v>3</v>
      </c>
      <c r="F31" s="116" t="s">
        <v>4</v>
      </c>
      <c r="G31" s="117" t="s">
        <v>51</v>
      </c>
      <c r="H31" s="133" t="s">
        <v>6</v>
      </c>
      <c r="I31" s="134"/>
      <c r="J31" s="133" t="s">
        <v>45</v>
      </c>
      <c r="K31" s="134"/>
      <c r="L31" s="133" t="s">
        <v>46</v>
      </c>
      <c r="M31" s="134"/>
      <c r="N31" s="133" t="s">
        <v>44</v>
      </c>
      <c r="O31" s="135"/>
      <c r="P31" s="117" t="s">
        <v>53</v>
      </c>
      <c r="Q31" s="117" t="s">
        <v>52</v>
      </c>
    </row>
    <row r="32" spans="2:17" s="7" customFormat="1" ht="16">
      <c r="B32" s="119" t="s">
        <v>1</v>
      </c>
      <c r="C32" s="119"/>
      <c r="D32" s="116"/>
      <c r="E32" s="116"/>
      <c r="F32" s="116"/>
      <c r="G32" s="118"/>
      <c r="H32" s="6" t="s">
        <v>49</v>
      </c>
      <c r="I32" s="6" t="s">
        <v>50</v>
      </c>
      <c r="J32" s="6" t="s">
        <v>49</v>
      </c>
      <c r="K32" s="6" t="s">
        <v>50</v>
      </c>
      <c r="L32" s="6" t="s">
        <v>49</v>
      </c>
      <c r="M32" s="6" t="s">
        <v>50</v>
      </c>
      <c r="N32" s="6" t="s">
        <v>49</v>
      </c>
      <c r="O32" s="6" t="s">
        <v>50</v>
      </c>
      <c r="P32" s="118"/>
      <c r="Q32" s="118"/>
    </row>
    <row r="33" spans="2:22" ht="16">
      <c r="B33" s="120" t="s">
        <v>27</v>
      </c>
      <c r="C33" s="120"/>
      <c r="D33" s="13">
        <v>1</v>
      </c>
      <c r="E33" s="13">
        <v>400</v>
      </c>
      <c r="F33" s="10">
        <v>2.5</v>
      </c>
      <c r="G33" s="10">
        <f t="shared" ref="G33:G39" si="7">F33*E33*D33</f>
        <v>1000</v>
      </c>
      <c r="H33" s="11">
        <v>0</v>
      </c>
      <c r="I33" s="11">
        <v>0</v>
      </c>
      <c r="J33" s="11">
        <v>0</v>
      </c>
      <c r="K33" s="11">
        <v>0</v>
      </c>
      <c r="L33" s="11">
        <v>3000</v>
      </c>
      <c r="M33" s="42">
        <v>3000</v>
      </c>
      <c r="N33" s="11">
        <f>G33</f>
        <v>1000</v>
      </c>
      <c r="O33" s="11">
        <v>0</v>
      </c>
      <c r="P33" s="16">
        <f t="shared" ref="P33:Q40" si="8">H33+J33+L33+N33</f>
        <v>4000</v>
      </c>
      <c r="Q33" s="44">
        <f t="shared" si="8"/>
        <v>3000</v>
      </c>
    </row>
    <row r="34" spans="2:22" ht="16">
      <c r="B34" s="136" t="s">
        <v>28</v>
      </c>
      <c r="C34" s="136"/>
      <c r="D34" s="13">
        <v>1</v>
      </c>
      <c r="E34" s="13">
        <v>400</v>
      </c>
      <c r="F34" s="10">
        <v>5</v>
      </c>
      <c r="G34" s="10">
        <f t="shared" si="7"/>
        <v>2000</v>
      </c>
      <c r="H34" s="11">
        <v>1000</v>
      </c>
      <c r="I34" s="32">
        <v>1000</v>
      </c>
      <c r="J34" s="11">
        <v>0</v>
      </c>
      <c r="K34" s="11">
        <v>0</v>
      </c>
      <c r="L34" s="11">
        <v>5000</v>
      </c>
      <c r="M34" s="42">
        <v>5000</v>
      </c>
      <c r="N34" s="11">
        <v>1000</v>
      </c>
      <c r="O34" s="11">
        <v>0</v>
      </c>
      <c r="P34" s="16">
        <f t="shared" si="8"/>
        <v>7000</v>
      </c>
      <c r="Q34" s="44">
        <f t="shared" si="8"/>
        <v>6000</v>
      </c>
    </row>
    <row r="35" spans="2:22" ht="16">
      <c r="B35" s="120" t="s">
        <v>29</v>
      </c>
      <c r="C35" s="120"/>
      <c r="D35" s="13">
        <v>1</v>
      </c>
      <c r="E35" s="13">
        <v>50</v>
      </c>
      <c r="F35" s="10">
        <v>20</v>
      </c>
      <c r="G35" s="10">
        <f t="shared" si="7"/>
        <v>1000</v>
      </c>
      <c r="H35" s="16">
        <v>500</v>
      </c>
      <c r="I35" s="31">
        <v>500</v>
      </c>
      <c r="J35" s="16">
        <v>0</v>
      </c>
      <c r="K35" s="16">
        <v>0</v>
      </c>
      <c r="L35" s="16">
        <v>5000</v>
      </c>
      <c r="M35" s="44">
        <v>5000</v>
      </c>
      <c r="N35" s="16">
        <v>0</v>
      </c>
      <c r="O35" s="16">
        <v>0</v>
      </c>
      <c r="P35" s="16">
        <f t="shared" si="8"/>
        <v>5500</v>
      </c>
      <c r="Q35" s="44">
        <f t="shared" si="8"/>
        <v>5500</v>
      </c>
    </row>
    <row r="36" spans="2:22" ht="16">
      <c r="B36" s="120" t="s">
        <v>30</v>
      </c>
      <c r="C36" s="120"/>
      <c r="D36" s="13">
        <v>1</v>
      </c>
      <c r="E36" s="13">
        <v>400</v>
      </c>
      <c r="F36" s="10">
        <v>5</v>
      </c>
      <c r="G36" s="10">
        <f t="shared" si="7"/>
        <v>2000</v>
      </c>
      <c r="H36" s="16">
        <v>0</v>
      </c>
      <c r="I36" s="16">
        <v>0</v>
      </c>
      <c r="J36" s="16">
        <v>0</v>
      </c>
      <c r="K36" s="16">
        <v>0</v>
      </c>
      <c r="L36" s="16">
        <v>5000</v>
      </c>
      <c r="M36" s="44">
        <v>5000</v>
      </c>
      <c r="N36" s="16">
        <f>G36</f>
        <v>2000</v>
      </c>
      <c r="O36" s="16">
        <v>0</v>
      </c>
      <c r="P36" s="16">
        <f t="shared" si="8"/>
        <v>7000</v>
      </c>
      <c r="Q36" s="44">
        <f t="shared" si="8"/>
        <v>5000</v>
      </c>
    </row>
    <row r="37" spans="2:22" ht="16">
      <c r="B37" s="121" t="s">
        <v>31</v>
      </c>
      <c r="C37" s="121"/>
      <c r="D37" s="13">
        <v>1</v>
      </c>
      <c r="E37" s="13">
        <v>400</v>
      </c>
      <c r="F37" s="10">
        <v>2.5</v>
      </c>
      <c r="G37" s="10">
        <f t="shared" si="7"/>
        <v>1000</v>
      </c>
      <c r="H37" s="16">
        <v>1000</v>
      </c>
      <c r="I37" s="31">
        <v>1000</v>
      </c>
      <c r="J37" s="16">
        <v>0</v>
      </c>
      <c r="K37" s="16">
        <v>0</v>
      </c>
      <c r="L37" s="16">
        <v>1000</v>
      </c>
      <c r="M37" s="44">
        <v>1000</v>
      </c>
      <c r="N37" s="16">
        <v>0</v>
      </c>
      <c r="O37" s="16">
        <v>0</v>
      </c>
      <c r="P37" s="16">
        <f t="shared" si="8"/>
        <v>2000</v>
      </c>
      <c r="Q37" s="44">
        <f t="shared" si="8"/>
        <v>2000</v>
      </c>
      <c r="U37">
        <v>7.25</v>
      </c>
      <c r="V37" t="s">
        <v>76</v>
      </c>
    </row>
    <row r="38" spans="2:22" ht="16">
      <c r="B38" s="136" t="s">
        <v>32</v>
      </c>
      <c r="C38" s="136"/>
      <c r="D38" s="13">
        <v>1</v>
      </c>
      <c r="E38" s="13">
        <v>1</v>
      </c>
      <c r="F38" s="10">
        <v>4000</v>
      </c>
      <c r="G38" s="10">
        <f t="shared" si="7"/>
        <v>4000</v>
      </c>
      <c r="H38" s="16">
        <v>0</v>
      </c>
      <c r="I38" s="16">
        <v>0</v>
      </c>
      <c r="J38" s="16">
        <v>0</v>
      </c>
      <c r="K38" s="16">
        <v>0</v>
      </c>
      <c r="L38" s="16">
        <v>3000</v>
      </c>
      <c r="M38" s="44">
        <v>3000</v>
      </c>
      <c r="N38" s="16">
        <f>G38</f>
        <v>4000</v>
      </c>
      <c r="O38" s="16">
        <v>0</v>
      </c>
      <c r="P38" s="16">
        <f t="shared" si="8"/>
        <v>7000</v>
      </c>
      <c r="Q38" s="44">
        <f t="shared" si="8"/>
        <v>3000</v>
      </c>
      <c r="U38" t="s">
        <v>77</v>
      </c>
    </row>
    <row r="39" spans="2:22" ht="16">
      <c r="B39" s="120" t="s">
        <v>33</v>
      </c>
      <c r="C39" s="120"/>
      <c r="D39" s="13">
        <v>1</v>
      </c>
      <c r="E39" s="13">
        <v>400</v>
      </c>
      <c r="F39" s="10">
        <v>5</v>
      </c>
      <c r="G39" s="10">
        <f t="shared" si="7"/>
        <v>2000</v>
      </c>
      <c r="H39" s="16">
        <v>0</v>
      </c>
      <c r="I39" s="16">
        <v>0</v>
      </c>
      <c r="J39" s="16">
        <v>0</v>
      </c>
      <c r="K39" s="16">
        <v>0</v>
      </c>
      <c r="L39" s="16">
        <v>5000</v>
      </c>
      <c r="M39" s="44">
        <v>5000</v>
      </c>
      <c r="N39" s="16">
        <f>G39</f>
        <v>2000</v>
      </c>
      <c r="O39" s="16">
        <v>0</v>
      </c>
      <c r="P39" s="16">
        <f t="shared" si="8"/>
        <v>7000</v>
      </c>
      <c r="Q39" s="44">
        <f t="shared" si="8"/>
        <v>5000</v>
      </c>
    </row>
    <row r="40" spans="2:22" ht="16">
      <c r="B40" s="120" t="s">
        <v>34</v>
      </c>
      <c r="C40" s="120"/>
      <c r="D40" s="13">
        <v>1</v>
      </c>
      <c r="E40" s="13">
        <v>1</v>
      </c>
      <c r="F40" s="10">
        <v>9500</v>
      </c>
      <c r="G40" s="10">
        <v>9500</v>
      </c>
      <c r="H40" s="16">
        <v>0</v>
      </c>
      <c r="I40" s="16">
        <v>0</v>
      </c>
      <c r="J40" s="16">
        <v>1978.88</v>
      </c>
      <c r="K40" s="16">
        <v>0</v>
      </c>
      <c r="L40" s="16">
        <v>2000</v>
      </c>
      <c r="M40" s="44">
        <v>2000</v>
      </c>
      <c r="N40" s="16">
        <v>0</v>
      </c>
      <c r="O40" s="16">
        <v>0</v>
      </c>
      <c r="P40" s="16">
        <f t="shared" si="8"/>
        <v>3978.88</v>
      </c>
      <c r="Q40" s="44">
        <f t="shared" si="8"/>
        <v>2000</v>
      </c>
    </row>
    <row r="41" spans="2:22" ht="16">
      <c r="B41" s="122" t="s">
        <v>12</v>
      </c>
      <c r="C41" s="122"/>
      <c r="D41" s="22"/>
      <c r="E41" s="22"/>
      <c r="F41" s="23"/>
      <c r="G41" s="23">
        <f t="shared" ref="G41:O41" si="9">SUM(G33:G40)</f>
        <v>22500</v>
      </c>
      <c r="H41" s="12">
        <f t="shared" si="9"/>
        <v>2500</v>
      </c>
      <c r="I41" s="12">
        <f t="shared" si="9"/>
        <v>2500</v>
      </c>
      <c r="J41" s="12">
        <f t="shared" si="9"/>
        <v>1978.88</v>
      </c>
      <c r="K41" s="12">
        <f t="shared" si="9"/>
        <v>0</v>
      </c>
      <c r="L41" s="12">
        <f t="shared" si="9"/>
        <v>29000</v>
      </c>
      <c r="M41" s="12">
        <f t="shared" si="9"/>
        <v>29000</v>
      </c>
      <c r="N41" s="12">
        <f t="shared" si="9"/>
        <v>10000</v>
      </c>
      <c r="O41" s="12">
        <f t="shared" si="9"/>
        <v>0</v>
      </c>
      <c r="P41" s="12">
        <f>SUM(P33:P40)</f>
        <v>43478.879999999997</v>
      </c>
      <c r="Q41" s="12">
        <f>SUM(Q33:Q40)</f>
        <v>31500</v>
      </c>
    </row>
    <row r="42" spans="2:22" ht="17" thickBot="1">
      <c r="B42" s="24"/>
      <c r="C42" s="1"/>
      <c r="D42" s="1"/>
      <c r="E42" s="1"/>
      <c r="F42" s="25"/>
      <c r="G42" s="25"/>
      <c r="H42" s="21"/>
      <c r="I42" s="21"/>
      <c r="J42" s="21"/>
      <c r="K42" s="21"/>
      <c r="L42" s="21"/>
      <c r="M42" s="21"/>
      <c r="N42" s="21"/>
      <c r="O42" s="21"/>
    </row>
    <row r="43" spans="2:22" ht="16" customHeight="1">
      <c r="B43" s="119" t="s">
        <v>35</v>
      </c>
      <c r="C43" s="119"/>
      <c r="D43" s="116" t="s">
        <v>2</v>
      </c>
      <c r="E43" s="116" t="s">
        <v>3</v>
      </c>
      <c r="F43" s="116" t="s">
        <v>4</v>
      </c>
      <c r="G43" s="117" t="s">
        <v>51</v>
      </c>
      <c r="H43" s="133" t="s">
        <v>6</v>
      </c>
      <c r="I43" s="134"/>
      <c r="J43" s="133" t="s">
        <v>45</v>
      </c>
      <c r="K43" s="134"/>
      <c r="L43" s="133" t="s">
        <v>46</v>
      </c>
      <c r="M43" s="134"/>
      <c r="N43" s="133" t="s">
        <v>44</v>
      </c>
      <c r="O43" s="135"/>
      <c r="P43" s="131" t="s">
        <v>53</v>
      </c>
      <c r="Q43" s="129" t="s">
        <v>52</v>
      </c>
    </row>
    <row r="44" spans="2:22" ht="16">
      <c r="B44" s="119" t="s">
        <v>1</v>
      </c>
      <c r="C44" s="119"/>
      <c r="D44" s="116"/>
      <c r="E44" s="116"/>
      <c r="F44" s="116"/>
      <c r="G44" s="118"/>
      <c r="H44" s="6" t="s">
        <v>49</v>
      </c>
      <c r="I44" s="6" t="s">
        <v>50</v>
      </c>
      <c r="J44" s="6" t="s">
        <v>49</v>
      </c>
      <c r="K44" s="6" t="s">
        <v>50</v>
      </c>
      <c r="L44" s="6" t="s">
        <v>49</v>
      </c>
      <c r="M44" s="6" t="s">
        <v>50</v>
      </c>
      <c r="N44" s="6" t="s">
        <v>49</v>
      </c>
      <c r="O44" s="45" t="s">
        <v>50</v>
      </c>
      <c r="P44" s="132"/>
      <c r="Q44" s="130"/>
    </row>
    <row r="45" spans="2:22" ht="16">
      <c r="B45" s="150" t="s">
        <v>36</v>
      </c>
      <c r="C45" s="151"/>
      <c r="D45" s="8">
        <v>1</v>
      </c>
      <c r="E45" s="8">
        <v>400</v>
      </c>
      <c r="F45" s="9">
        <v>18</v>
      </c>
      <c r="G45" s="9">
        <f>F45*E45*D45</f>
        <v>7200</v>
      </c>
      <c r="H45" s="11">
        <v>5940</v>
      </c>
      <c r="I45" s="32">
        <v>5940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46">
        <v>0</v>
      </c>
      <c r="P45" s="48">
        <f t="shared" ref="P45:Q48" si="10">H45+J45+L45+N45</f>
        <v>5940</v>
      </c>
      <c r="Q45" s="49">
        <f t="shared" si="10"/>
        <v>5940</v>
      </c>
    </row>
    <row r="46" spans="2:22" ht="16">
      <c r="B46" s="150" t="s">
        <v>37</v>
      </c>
      <c r="C46" s="151"/>
      <c r="D46" s="8">
        <v>1</v>
      </c>
      <c r="E46" s="8">
        <v>400</v>
      </c>
      <c r="F46" s="9">
        <v>22.5</v>
      </c>
      <c r="G46" s="9">
        <f>F46*E46*D46</f>
        <v>9000</v>
      </c>
      <c r="H46" s="11">
        <v>7425</v>
      </c>
      <c r="I46" s="32">
        <v>7425</v>
      </c>
      <c r="J46" s="11">
        <v>0</v>
      </c>
      <c r="K46" s="11">
        <v>0</v>
      </c>
      <c r="L46" s="11">
        <v>5000</v>
      </c>
      <c r="M46" s="42">
        <v>5000</v>
      </c>
      <c r="N46" s="11">
        <v>0</v>
      </c>
      <c r="O46" s="46">
        <v>0</v>
      </c>
      <c r="P46" s="48">
        <f t="shared" si="10"/>
        <v>12425</v>
      </c>
      <c r="Q46" s="49">
        <f t="shared" si="10"/>
        <v>12425</v>
      </c>
    </row>
    <row r="47" spans="2:22" ht="16">
      <c r="B47" s="112" t="s">
        <v>47</v>
      </c>
      <c r="C47" s="113"/>
      <c r="D47" s="8">
        <v>1</v>
      </c>
      <c r="E47" s="8">
        <v>1</v>
      </c>
      <c r="F47" s="9">
        <v>5000</v>
      </c>
      <c r="G47" s="9">
        <v>5000</v>
      </c>
      <c r="H47" s="11">
        <v>0</v>
      </c>
      <c r="I47" s="11">
        <v>0</v>
      </c>
      <c r="J47" s="11">
        <v>0</v>
      </c>
      <c r="K47" s="11">
        <v>0</v>
      </c>
      <c r="L47" s="11">
        <v>11000</v>
      </c>
      <c r="M47" s="42">
        <v>11000</v>
      </c>
      <c r="N47" s="11">
        <v>0</v>
      </c>
      <c r="O47" s="46">
        <v>0</v>
      </c>
      <c r="P47" s="48">
        <f t="shared" si="10"/>
        <v>11000</v>
      </c>
      <c r="Q47" s="49">
        <f t="shared" si="10"/>
        <v>11000</v>
      </c>
    </row>
    <row r="48" spans="2:22" ht="16">
      <c r="B48" s="112" t="s">
        <v>48</v>
      </c>
      <c r="C48" s="113"/>
      <c r="D48" s="8">
        <v>1</v>
      </c>
      <c r="E48" s="8">
        <v>1</v>
      </c>
      <c r="F48" s="9">
        <v>9000</v>
      </c>
      <c r="G48" s="9">
        <f>F48*E48*D48</f>
        <v>9000</v>
      </c>
      <c r="H48" s="11">
        <v>9000</v>
      </c>
      <c r="I48" s="32">
        <v>9000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46">
        <v>0</v>
      </c>
      <c r="P48" s="48">
        <f t="shared" si="10"/>
        <v>9000</v>
      </c>
      <c r="Q48" s="49">
        <f t="shared" si="10"/>
        <v>9000</v>
      </c>
    </row>
    <row r="49" spans="2:17" ht="17" thickBot="1">
      <c r="B49" s="114" t="s">
        <v>12</v>
      </c>
      <c r="C49" s="115"/>
      <c r="D49" s="17"/>
      <c r="E49" s="17"/>
      <c r="F49" s="18"/>
      <c r="G49" s="18">
        <f t="shared" ref="G49:Q49" si="11">SUM(G45:G48)</f>
        <v>30200</v>
      </c>
      <c r="H49" s="12">
        <f t="shared" si="11"/>
        <v>22365</v>
      </c>
      <c r="I49" s="12">
        <f t="shared" si="11"/>
        <v>22365</v>
      </c>
      <c r="J49" s="12">
        <f t="shared" si="11"/>
        <v>0</v>
      </c>
      <c r="K49" s="12">
        <f t="shared" si="11"/>
        <v>0</v>
      </c>
      <c r="L49" s="12">
        <f t="shared" si="11"/>
        <v>16000</v>
      </c>
      <c r="M49" s="12">
        <f t="shared" si="11"/>
        <v>16000</v>
      </c>
      <c r="N49" s="12">
        <f t="shared" si="11"/>
        <v>0</v>
      </c>
      <c r="O49" s="47">
        <f t="shared" si="11"/>
        <v>0</v>
      </c>
      <c r="P49" s="50">
        <f t="shared" si="11"/>
        <v>38365</v>
      </c>
      <c r="Q49" s="51">
        <f t="shared" si="11"/>
        <v>38365</v>
      </c>
    </row>
    <row r="50" spans="2:17" ht="16">
      <c r="B50" s="24"/>
      <c r="C50" s="1"/>
      <c r="D50" s="1"/>
      <c r="E50" s="1"/>
      <c r="F50" s="25"/>
      <c r="G50" s="25"/>
      <c r="H50" s="21"/>
      <c r="I50" s="21"/>
      <c r="J50" s="21"/>
      <c r="K50" s="21"/>
      <c r="L50" s="21"/>
      <c r="M50" s="21"/>
      <c r="N50" s="21"/>
      <c r="O50" s="21"/>
    </row>
    <row r="51" spans="2:17" ht="16" customHeight="1">
      <c r="B51" s="119" t="s">
        <v>38</v>
      </c>
      <c r="C51" s="119"/>
      <c r="D51" s="116" t="s">
        <v>2</v>
      </c>
      <c r="E51" s="116" t="s">
        <v>3</v>
      </c>
      <c r="F51" s="116" t="s">
        <v>4</v>
      </c>
      <c r="G51" s="117" t="s">
        <v>51</v>
      </c>
      <c r="H51" s="133" t="s">
        <v>6</v>
      </c>
      <c r="I51" s="134"/>
      <c r="J51" s="133" t="s">
        <v>45</v>
      </c>
      <c r="K51" s="134"/>
      <c r="L51" s="133" t="s">
        <v>46</v>
      </c>
      <c r="M51" s="134"/>
      <c r="N51" s="133" t="s">
        <v>44</v>
      </c>
      <c r="O51" s="135"/>
      <c r="P51" s="117" t="s">
        <v>53</v>
      </c>
      <c r="Q51" s="117" t="s">
        <v>52</v>
      </c>
    </row>
    <row r="52" spans="2:17" s="7" customFormat="1" ht="16">
      <c r="B52" s="119" t="s">
        <v>1</v>
      </c>
      <c r="C52" s="119"/>
      <c r="D52" s="116"/>
      <c r="E52" s="116"/>
      <c r="F52" s="116"/>
      <c r="G52" s="118"/>
      <c r="H52" s="6" t="s">
        <v>49</v>
      </c>
      <c r="I52" s="6" t="s">
        <v>50</v>
      </c>
      <c r="J52" s="6" t="s">
        <v>49</v>
      </c>
      <c r="K52" s="6" t="s">
        <v>50</v>
      </c>
      <c r="L52" s="6" t="s">
        <v>49</v>
      </c>
      <c r="M52" s="6" t="s">
        <v>50</v>
      </c>
      <c r="N52" s="6" t="s">
        <v>49</v>
      </c>
      <c r="O52" s="6" t="s">
        <v>50</v>
      </c>
      <c r="P52" s="118"/>
      <c r="Q52" s="118"/>
    </row>
    <row r="53" spans="2:17" ht="16">
      <c r="B53" s="112" t="s">
        <v>39</v>
      </c>
      <c r="C53" s="113"/>
      <c r="D53" s="8">
        <v>8</v>
      </c>
      <c r="E53" s="8">
        <v>250</v>
      </c>
      <c r="F53" s="9">
        <v>16</v>
      </c>
      <c r="G53" s="9">
        <f>F53*E53*D53</f>
        <v>32000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6">
        <f>H53+J53+L53+N53</f>
        <v>0</v>
      </c>
      <c r="Q53" s="16">
        <f>I53+K53+M53+O53</f>
        <v>0</v>
      </c>
    </row>
    <row r="54" spans="2:17" ht="16">
      <c r="B54" s="150" t="s">
        <v>54</v>
      </c>
      <c r="C54" s="151"/>
      <c r="D54" s="8"/>
      <c r="E54" s="8"/>
      <c r="F54" s="9"/>
      <c r="G54" s="9"/>
      <c r="H54" s="11"/>
      <c r="I54" s="11"/>
      <c r="J54" s="11"/>
      <c r="K54" s="11"/>
      <c r="L54" s="11"/>
      <c r="M54" s="11"/>
      <c r="N54" s="11"/>
      <c r="O54" s="11"/>
      <c r="P54" s="16"/>
      <c r="Q54" s="16"/>
    </row>
    <row r="55" spans="2:17" ht="16">
      <c r="B55" s="112" t="s">
        <v>40</v>
      </c>
      <c r="C55" s="113"/>
      <c r="D55" s="8">
        <v>1</v>
      </c>
      <c r="E55" s="8">
        <v>200</v>
      </c>
      <c r="F55" s="9">
        <v>66</v>
      </c>
      <c r="G55" s="9">
        <f>F55*E55*D55</f>
        <v>13200</v>
      </c>
      <c r="H55" s="11">
        <v>0</v>
      </c>
      <c r="I55" s="11">
        <v>0</v>
      </c>
      <c r="J55" s="11">
        <v>0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  <c r="P55" s="16">
        <f>H55+J55+L55+N55</f>
        <v>0</v>
      </c>
      <c r="Q55" s="16">
        <f>I55+K55+M55+O55</f>
        <v>0</v>
      </c>
    </row>
    <row r="56" spans="2:17" ht="16">
      <c r="B56" s="114" t="s">
        <v>12</v>
      </c>
      <c r="C56" s="115"/>
      <c r="D56" s="17"/>
      <c r="E56" s="17"/>
      <c r="F56" s="18"/>
      <c r="G56" s="18">
        <f t="shared" ref="G56:Q56" si="12">SUM(G53:G55)</f>
        <v>45200</v>
      </c>
      <c r="H56" s="12">
        <f t="shared" si="12"/>
        <v>0</v>
      </c>
      <c r="I56" s="12">
        <f t="shared" si="12"/>
        <v>0</v>
      </c>
      <c r="J56" s="12">
        <f t="shared" si="12"/>
        <v>0</v>
      </c>
      <c r="K56" s="12">
        <f t="shared" si="12"/>
        <v>0</v>
      </c>
      <c r="L56" s="12">
        <f t="shared" si="12"/>
        <v>0</v>
      </c>
      <c r="M56" s="12">
        <f t="shared" si="12"/>
        <v>0</v>
      </c>
      <c r="N56" s="12">
        <f t="shared" si="12"/>
        <v>0</v>
      </c>
      <c r="O56" s="12">
        <f t="shared" si="12"/>
        <v>0</v>
      </c>
      <c r="P56" s="12">
        <f t="shared" si="12"/>
        <v>0</v>
      </c>
      <c r="Q56" s="12">
        <f t="shared" si="12"/>
        <v>0</v>
      </c>
    </row>
    <row r="57" spans="2:17" ht="16">
      <c r="B57" s="2"/>
      <c r="C57" s="2"/>
      <c r="D57" s="2"/>
      <c r="E57" s="2"/>
      <c r="F57" s="3"/>
      <c r="G57" s="3"/>
      <c r="H57" s="21"/>
      <c r="I57" s="21"/>
      <c r="J57" s="21"/>
      <c r="K57" s="21"/>
      <c r="L57" s="21"/>
      <c r="M57" s="21"/>
      <c r="N57" s="21"/>
      <c r="O57" s="21"/>
    </row>
    <row r="58" spans="2:17" ht="16">
      <c r="B58" s="142" t="s">
        <v>41</v>
      </c>
      <c r="C58" s="142"/>
      <c r="D58" s="142"/>
      <c r="E58" s="142"/>
      <c r="F58" s="142"/>
      <c r="G58" s="18">
        <f>G9+G18+G29+G41+G49+G56</f>
        <v>221194.32</v>
      </c>
      <c r="H58" s="12">
        <f t="shared" ref="H58:O58" si="13">SUM(H9,H18,H29,H41,H49,H56)</f>
        <v>30365</v>
      </c>
      <c r="I58" s="12">
        <f t="shared" si="13"/>
        <v>30365</v>
      </c>
      <c r="J58" s="12">
        <f t="shared" si="13"/>
        <v>60000</v>
      </c>
      <c r="K58" s="12">
        <f t="shared" si="13"/>
        <v>26000</v>
      </c>
      <c r="L58" s="12">
        <f t="shared" si="13"/>
        <v>100000</v>
      </c>
      <c r="M58" s="12">
        <f t="shared" si="13"/>
        <v>100000</v>
      </c>
      <c r="N58" s="12">
        <f t="shared" si="13"/>
        <v>89461.119999999995</v>
      </c>
      <c r="O58" s="12">
        <f t="shared" si="13"/>
        <v>15000</v>
      </c>
      <c r="P58" s="12">
        <f>SUM(H58,J58,L58,N58)</f>
        <v>279826.12</v>
      </c>
      <c r="Q58" s="12">
        <f>SUM(I58,K58,M58,O58)</f>
        <v>171365</v>
      </c>
    </row>
    <row r="59" spans="2:17">
      <c r="B59" s="26"/>
      <c r="C59" s="26"/>
      <c r="D59" s="26"/>
      <c r="E59" s="26"/>
      <c r="F59" s="26"/>
      <c r="G59" s="26"/>
    </row>
    <row r="61" spans="2:17" ht="22" customHeight="1">
      <c r="B61" s="143" t="s">
        <v>1</v>
      </c>
      <c r="C61" s="144"/>
      <c r="D61" s="144"/>
      <c r="E61" s="144"/>
      <c r="F61" s="145"/>
      <c r="G61" s="125" t="s">
        <v>5</v>
      </c>
      <c r="H61" s="127" t="s">
        <v>6</v>
      </c>
      <c r="I61" s="128"/>
      <c r="J61" s="127" t="s">
        <v>45</v>
      </c>
      <c r="K61" s="128"/>
      <c r="L61" s="127" t="s">
        <v>46</v>
      </c>
      <c r="M61" s="128"/>
      <c r="N61" s="127" t="s">
        <v>44</v>
      </c>
      <c r="O61" s="128"/>
      <c r="P61" s="117" t="s">
        <v>53</v>
      </c>
      <c r="Q61" s="117" t="s">
        <v>52</v>
      </c>
    </row>
    <row r="62" spans="2:17" ht="16">
      <c r="B62" s="146"/>
      <c r="C62" s="147"/>
      <c r="D62" s="147"/>
      <c r="E62" s="147"/>
      <c r="F62" s="148"/>
      <c r="G62" s="126"/>
      <c r="H62" s="6" t="s">
        <v>49</v>
      </c>
      <c r="I62" s="6" t="s">
        <v>50</v>
      </c>
      <c r="J62" s="6" t="s">
        <v>49</v>
      </c>
      <c r="K62" s="6" t="s">
        <v>50</v>
      </c>
      <c r="L62" s="6" t="s">
        <v>49</v>
      </c>
      <c r="M62" s="6" t="s">
        <v>50</v>
      </c>
      <c r="N62" s="6" t="s">
        <v>49</v>
      </c>
      <c r="O62" s="6" t="s">
        <v>50</v>
      </c>
      <c r="P62" s="118"/>
      <c r="Q62" s="118"/>
    </row>
    <row r="63" spans="2:17" ht="16">
      <c r="B63" s="101" t="s">
        <v>0</v>
      </c>
      <c r="C63" s="101"/>
      <c r="D63" s="101"/>
      <c r="E63" s="101"/>
      <c r="F63" s="101"/>
      <c r="G63" s="9">
        <f t="shared" ref="G63:O63" si="14">G9</f>
        <v>44000</v>
      </c>
      <c r="H63" s="16">
        <f t="shared" si="14"/>
        <v>0</v>
      </c>
      <c r="I63" s="16">
        <f t="shared" si="14"/>
        <v>0</v>
      </c>
      <c r="J63" s="16">
        <f t="shared" si="14"/>
        <v>20000</v>
      </c>
      <c r="K63" s="16">
        <f t="shared" si="14"/>
        <v>0</v>
      </c>
      <c r="L63" s="16">
        <f t="shared" si="14"/>
        <v>0</v>
      </c>
      <c r="M63" s="16">
        <f t="shared" si="14"/>
        <v>0</v>
      </c>
      <c r="N63" s="16">
        <f t="shared" si="14"/>
        <v>23000</v>
      </c>
      <c r="O63" s="16">
        <f t="shared" si="14"/>
        <v>15000</v>
      </c>
      <c r="P63" s="16">
        <f t="shared" ref="P63:Q67" si="15">H63+J63+L63+N63</f>
        <v>43000</v>
      </c>
      <c r="Q63" s="30">
        <f t="shared" si="15"/>
        <v>15000</v>
      </c>
    </row>
    <row r="64" spans="2:17" ht="16">
      <c r="B64" s="111" t="s">
        <v>13</v>
      </c>
      <c r="C64" s="111"/>
      <c r="D64" s="111"/>
      <c r="E64" s="111"/>
      <c r="F64" s="111"/>
      <c r="G64" s="9">
        <f>G18</f>
        <v>19534.320000000003</v>
      </c>
      <c r="H64" s="16">
        <f>H18</f>
        <v>0</v>
      </c>
      <c r="I64" s="16">
        <f>I18</f>
        <v>0</v>
      </c>
      <c r="J64" s="16">
        <f>J18</f>
        <v>12021.12</v>
      </c>
      <c r="K64" s="16">
        <f t="shared" ref="K64:O64" si="16">K10</f>
        <v>0</v>
      </c>
      <c r="L64" s="16">
        <f t="shared" si="16"/>
        <v>0</v>
      </c>
      <c r="M64" s="16">
        <f t="shared" si="16"/>
        <v>0</v>
      </c>
      <c r="N64" s="16">
        <f>N18</f>
        <v>12021.12</v>
      </c>
      <c r="O64" s="16">
        <f t="shared" si="16"/>
        <v>0</v>
      </c>
      <c r="P64" s="16">
        <f t="shared" si="15"/>
        <v>24042.240000000002</v>
      </c>
      <c r="Q64" s="30">
        <f t="shared" si="15"/>
        <v>0</v>
      </c>
    </row>
    <row r="65" spans="2:17" ht="16">
      <c r="B65" s="101" t="s">
        <v>18</v>
      </c>
      <c r="C65" s="101"/>
      <c r="D65" s="101"/>
      <c r="E65" s="101"/>
      <c r="F65" s="101"/>
      <c r="G65" s="9">
        <f t="shared" ref="G65:O65" si="17">G29</f>
        <v>59760</v>
      </c>
      <c r="H65" s="16">
        <f t="shared" si="17"/>
        <v>5500</v>
      </c>
      <c r="I65" s="31">
        <f t="shared" si="17"/>
        <v>5500</v>
      </c>
      <c r="J65" s="16">
        <f t="shared" si="17"/>
        <v>26000</v>
      </c>
      <c r="K65" s="16">
        <f t="shared" si="17"/>
        <v>26000</v>
      </c>
      <c r="L65" s="16">
        <f t="shared" si="17"/>
        <v>55000</v>
      </c>
      <c r="M65" s="16">
        <f t="shared" si="17"/>
        <v>55000</v>
      </c>
      <c r="N65" s="16">
        <f t="shared" si="17"/>
        <v>44440</v>
      </c>
      <c r="O65" s="16">
        <f t="shared" si="17"/>
        <v>0</v>
      </c>
      <c r="P65" s="16">
        <f t="shared" si="15"/>
        <v>130940</v>
      </c>
      <c r="Q65" s="30">
        <f t="shared" si="15"/>
        <v>86500</v>
      </c>
    </row>
    <row r="66" spans="2:17" ht="16">
      <c r="B66" s="101" t="s">
        <v>26</v>
      </c>
      <c r="C66" s="101"/>
      <c r="D66" s="101"/>
      <c r="E66" s="101"/>
      <c r="F66" s="101"/>
      <c r="G66" s="10">
        <f t="shared" ref="G66:O66" si="18">G41</f>
        <v>22500</v>
      </c>
      <c r="H66" s="16">
        <f t="shared" si="18"/>
        <v>2500</v>
      </c>
      <c r="I66" s="31">
        <f t="shared" si="18"/>
        <v>2500</v>
      </c>
      <c r="J66" s="16">
        <f t="shared" si="18"/>
        <v>1978.88</v>
      </c>
      <c r="K66" s="16">
        <f t="shared" si="18"/>
        <v>0</v>
      </c>
      <c r="L66" s="16">
        <f t="shared" si="18"/>
        <v>29000</v>
      </c>
      <c r="M66" s="16">
        <f t="shared" si="18"/>
        <v>29000</v>
      </c>
      <c r="N66" s="16">
        <f t="shared" si="18"/>
        <v>10000</v>
      </c>
      <c r="O66" s="16">
        <f t="shared" si="18"/>
        <v>0</v>
      </c>
      <c r="P66" s="16">
        <f t="shared" si="15"/>
        <v>43478.879999999997</v>
      </c>
      <c r="Q66" s="30">
        <f t="shared" si="15"/>
        <v>31500</v>
      </c>
    </row>
    <row r="67" spans="2:17" s="2" customFormat="1" ht="16">
      <c r="B67" s="101" t="s">
        <v>42</v>
      </c>
      <c r="C67" s="101"/>
      <c r="D67" s="101"/>
      <c r="E67" s="101"/>
      <c r="F67" s="101"/>
      <c r="G67" s="10">
        <f t="shared" ref="G67:O67" si="19">G49</f>
        <v>30200</v>
      </c>
      <c r="H67" s="16">
        <f t="shared" si="19"/>
        <v>22365</v>
      </c>
      <c r="I67" s="31">
        <f t="shared" si="19"/>
        <v>22365</v>
      </c>
      <c r="J67" s="16">
        <f t="shared" si="19"/>
        <v>0</v>
      </c>
      <c r="K67" s="16">
        <f t="shared" si="19"/>
        <v>0</v>
      </c>
      <c r="L67" s="16">
        <f t="shared" si="19"/>
        <v>16000</v>
      </c>
      <c r="M67" s="16">
        <f t="shared" si="19"/>
        <v>16000</v>
      </c>
      <c r="N67" s="16">
        <f t="shared" si="19"/>
        <v>0</v>
      </c>
      <c r="O67" s="16">
        <f t="shared" si="19"/>
        <v>0</v>
      </c>
      <c r="P67" s="16">
        <f t="shared" si="15"/>
        <v>38365</v>
      </c>
      <c r="Q67" s="30">
        <f t="shared" si="15"/>
        <v>38365</v>
      </c>
    </row>
    <row r="68" spans="2:17" s="2" customFormat="1" ht="16">
      <c r="B68" s="101" t="s">
        <v>38</v>
      </c>
      <c r="C68" s="101"/>
      <c r="D68" s="101"/>
      <c r="E68" s="101"/>
      <c r="F68" s="101"/>
      <c r="G68" s="9">
        <f t="shared" ref="G68:O68" si="20">G56</f>
        <v>45200</v>
      </c>
      <c r="H68" s="16">
        <f t="shared" si="20"/>
        <v>0</v>
      </c>
      <c r="I68" s="16">
        <f t="shared" si="20"/>
        <v>0</v>
      </c>
      <c r="J68" s="16">
        <f t="shared" si="20"/>
        <v>0</v>
      </c>
      <c r="K68" s="16">
        <f t="shared" si="20"/>
        <v>0</v>
      </c>
      <c r="L68" s="16">
        <f t="shared" si="20"/>
        <v>0</v>
      </c>
      <c r="M68" s="16">
        <f t="shared" si="20"/>
        <v>0</v>
      </c>
      <c r="N68" s="16">
        <f t="shared" si="20"/>
        <v>0</v>
      </c>
      <c r="O68" s="16">
        <f t="shared" si="20"/>
        <v>0</v>
      </c>
      <c r="P68" s="16">
        <f>H68+J68+L68+N68</f>
        <v>0</v>
      </c>
      <c r="Q68" s="30">
        <f>J68+L68+N68+P68</f>
        <v>0</v>
      </c>
    </row>
    <row r="69" spans="2:17" ht="16">
      <c r="B69" s="141" t="s">
        <v>43</v>
      </c>
      <c r="C69" s="141"/>
      <c r="D69" s="141"/>
      <c r="E69" s="141"/>
      <c r="F69" s="141"/>
      <c r="G69" s="27">
        <f t="shared" ref="G69:O69" si="21">SUM(G63:G68)</f>
        <v>221194.32</v>
      </c>
      <c r="H69" s="27">
        <f t="shared" si="21"/>
        <v>30365</v>
      </c>
      <c r="I69" s="27">
        <f t="shared" si="21"/>
        <v>30365</v>
      </c>
      <c r="J69" s="27">
        <f t="shared" si="21"/>
        <v>60000</v>
      </c>
      <c r="K69" s="27">
        <f t="shared" si="21"/>
        <v>26000</v>
      </c>
      <c r="L69" s="27">
        <f t="shared" si="21"/>
        <v>100000</v>
      </c>
      <c r="M69" s="27">
        <f t="shared" si="21"/>
        <v>100000</v>
      </c>
      <c r="N69" s="27">
        <f t="shared" si="21"/>
        <v>89461.119999999995</v>
      </c>
      <c r="O69" s="27">
        <f t="shared" si="21"/>
        <v>15000</v>
      </c>
      <c r="P69" s="12">
        <f>SUM(P63:P68)</f>
        <v>279826.12</v>
      </c>
      <c r="Q69" s="12">
        <f>SUM(Q63:Q68)</f>
        <v>171365</v>
      </c>
    </row>
  </sheetData>
  <mergeCells count="126">
    <mergeCell ref="B54:C54"/>
    <mergeCell ref="G43:G44"/>
    <mergeCell ref="H43:I43"/>
    <mergeCell ref="J43:K43"/>
    <mergeCell ref="L43:M43"/>
    <mergeCell ref="N43:O43"/>
    <mergeCell ref="L20:M20"/>
    <mergeCell ref="N20:O20"/>
    <mergeCell ref="L11:M11"/>
    <mergeCell ref="N11:O11"/>
    <mergeCell ref="D31:D32"/>
    <mergeCell ref="E31:E32"/>
    <mergeCell ref="F31:F32"/>
    <mergeCell ref="G31:G32"/>
    <mergeCell ref="H31:I31"/>
    <mergeCell ref="J31:K31"/>
    <mergeCell ref="L31:M31"/>
    <mergeCell ref="N31:O31"/>
    <mergeCell ref="E20:E21"/>
    <mergeCell ref="F20:F21"/>
    <mergeCell ref="G20:G21"/>
    <mergeCell ref="H20:I20"/>
    <mergeCell ref="J20:K20"/>
    <mergeCell ref="B20:C20"/>
    <mergeCell ref="B31:C31"/>
    <mergeCell ref="B43:C43"/>
    <mergeCell ref="B51:C51"/>
    <mergeCell ref="D20:D21"/>
    <mergeCell ref="D43:D44"/>
    <mergeCell ref="D51:D52"/>
    <mergeCell ref="H11:I11"/>
    <mergeCell ref="J11:K11"/>
    <mergeCell ref="B11:C11"/>
    <mergeCell ref="B39:C39"/>
    <mergeCell ref="B40:C40"/>
    <mergeCell ref="B41:C41"/>
    <mergeCell ref="B44:C44"/>
    <mergeCell ref="B46:C46"/>
    <mergeCell ref="B48:C48"/>
    <mergeCell ref="B49:C49"/>
    <mergeCell ref="B52:C52"/>
    <mergeCell ref="B13:C13"/>
    <mergeCell ref="B14:C14"/>
    <mergeCell ref="B15:C15"/>
    <mergeCell ref="B16:C16"/>
    <mergeCell ref="B17:C17"/>
    <mergeCell ref="B18:C18"/>
    <mergeCell ref="B45:C45"/>
    <mergeCell ref="B2:C2"/>
    <mergeCell ref="D11:D12"/>
    <mergeCell ref="E11:E12"/>
    <mergeCell ref="F11:F12"/>
    <mergeCell ref="G11:G12"/>
    <mergeCell ref="H2:I2"/>
    <mergeCell ref="J2:K2"/>
    <mergeCell ref="L2:M2"/>
    <mergeCell ref="N2:O2"/>
    <mergeCell ref="D2:D3"/>
    <mergeCell ref="E2:E3"/>
    <mergeCell ref="F2:F3"/>
    <mergeCell ref="G2:G3"/>
    <mergeCell ref="B8:C8"/>
    <mergeCell ref="B3:C3"/>
    <mergeCell ref="B4:C4"/>
    <mergeCell ref="B5:C5"/>
    <mergeCell ref="B6:C6"/>
    <mergeCell ref="B7:C7"/>
    <mergeCell ref="B9:C9"/>
    <mergeCell ref="B12:C12"/>
    <mergeCell ref="B68:F68"/>
    <mergeCell ref="B69:F69"/>
    <mergeCell ref="B63:F63"/>
    <mergeCell ref="B64:F64"/>
    <mergeCell ref="B65:F65"/>
    <mergeCell ref="B66:F66"/>
    <mergeCell ref="B67:F67"/>
    <mergeCell ref="B58:F58"/>
    <mergeCell ref="B61:F62"/>
    <mergeCell ref="B53:C53"/>
    <mergeCell ref="B55:C55"/>
    <mergeCell ref="B56:C56"/>
    <mergeCell ref="E43:E44"/>
    <mergeCell ref="F43:F44"/>
    <mergeCell ref="E51:E52"/>
    <mergeCell ref="F51:F52"/>
    <mergeCell ref="B21:C21"/>
    <mergeCell ref="B22:C22"/>
    <mergeCell ref="B23:C23"/>
    <mergeCell ref="B38:C38"/>
    <mergeCell ref="B25:C25"/>
    <mergeCell ref="B26:C26"/>
    <mergeCell ref="B27:C27"/>
    <mergeCell ref="B28:C28"/>
    <mergeCell ref="B29:C29"/>
    <mergeCell ref="B32:C32"/>
    <mergeCell ref="B33:C33"/>
    <mergeCell ref="B34:C34"/>
    <mergeCell ref="B35:C35"/>
    <mergeCell ref="B36:C36"/>
    <mergeCell ref="B37:C37"/>
    <mergeCell ref="B47:C47"/>
    <mergeCell ref="B24:C24"/>
    <mergeCell ref="G61:G62"/>
    <mergeCell ref="J61:K61"/>
    <mergeCell ref="L61:M61"/>
    <mergeCell ref="N61:O61"/>
    <mergeCell ref="Q2:Q3"/>
    <mergeCell ref="Q11:Q12"/>
    <mergeCell ref="Q20:Q21"/>
    <mergeCell ref="Q31:Q32"/>
    <mergeCell ref="Q43:Q44"/>
    <mergeCell ref="Q51:Q52"/>
    <mergeCell ref="H61:I61"/>
    <mergeCell ref="P61:P62"/>
    <mergeCell ref="Q61:Q62"/>
    <mergeCell ref="P51:P52"/>
    <mergeCell ref="P2:P3"/>
    <mergeCell ref="P11:P12"/>
    <mergeCell ref="P20:P21"/>
    <mergeCell ref="P31:P32"/>
    <mergeCell ref="P43:P44"/>
    <mergeCell ref="G51:G52"/>
    <mergeCell ref="H51:I51"/>
    <mergeCell ref="J51:K51"/>
    <mergeCell ref="L51:M51"/>
    <mergeCell ref="N51:O51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activeCell="D7" sqref="D7"/>
    </sheetView>
  </sheetViews>
  <sheetFormatPr baseColWidth="10" defaultRowHeight="15" x14ac:dyDescent="0"/>
  <cols>
    <col min="1" max="1" width="65.83203125" customWidth="1"/>
    <col min="2" max="2" width="19.6640625" customWidth="1"/>
    <col min="3" max="3" width="72.83203125" customWidth="1"/>
    <col min="4" max="4" width="25.33203125" customWidth="1"/>
  </cols>
  <sheetData>
    <row r="1" spans="1:4" ht="28" customHeight="1">
      <c r="A1" s="152" t="s">
        <v>62</v>
      </c>
      <c r="B1" s="153"/>
      <c r="C1" s="153"/>
      <c r="D1" s="153"/>
    </row>
    <row r="2" spans="1:4" ht="16" customHeight="1">
      <c r="A2" s="37" t="s">
        <v>60</v>
      </c>
      <c r="B2" s="39" t="s">
        <v>55</v>
      </c>
      <c r="C2" s="37" t="s">
        <v>61</v>
      </c>
      <c r="D2" s="39" t="s">
        <v>55</v>
      </c>
    </row>
    <row r="3" spans="1:4" ht="16">
      <c r="A3" s="40" t="s">
        <v>56</v>
      </c>
      <c r="B3" s="35">
        <v>100000</v>
      </c>
      <c r="C3" s="65" t="s">
        <v>96</v>
      </c>
      <c r="D3" s="66">
        <v>100000</v>
      </c>
    </row>
    <row r="4" spans="1:4" ht="16" customHeight="1">
      <c r="A4" s="40" t="s">
        <v>57</v>
      </c>
      <c r="B4" s="35">
        <v>45000</v>
      </c>
      <c r="C4" s="67" t="s">
        <v>44</v>
      </c>
      <c r="D4" s="66">
        <v>15000</v>
      </c>
    </row>
    <row r="5" spans="1:4" ht="16">
      <c r="A5" s="40" t="s">
        <v>44</v>
      </c>
      <c r="B5" s="35">
        <v>49990</v>
      </c>
      <c r="C5" s="67" t="s">
        <v>45</v>
      </c>
      <c r="D5" s="66">
        <v>45000</v>
      </c>
    </row>
    <row r="6" spans="1:4" ht="16">
      <c r="A6" s="40" t="s">
        <v>45</v>
      </c>
      <c r="B6" s="35">
        <v>60000</v>
      </c>
      <c r="C6" s="67" t="s">
        <v>6</v>
      </c>
      <c r="D6" s="66">
        <v>29850</v>
      </c>
    </row>
    <row r="7" spans="1:4" ht="16">
      <c r="A7" s="40" t="s">
        <v>59</v>
      </c>
      <c r="B7" s="35">
        <v>40000</v>
      </c>
      <c r="C7" s="69" t="s">
        <v>97</v>
      </c>
      <c r="D7" s="70">
        <f>38998</f>
        <v>38998</v>
      </c>
    </row>
    <row r="8" spans="1:4" ht="16">
      <c r="A8" s="40" t="s">
        <v>58</v>
      </c>
      <c r="B8" s="35">
        <v>25000</v>
      </c>
      <c r="C8" s="67" t="s">
        <v>64</v>
      </c>
      <c r="D8" s="68">
        <v>10000</v>
      </c>
    </row>
    <row r="9" spans="1:4" ht="16">
      <c r="A9" s="40"/>
      <c r="B9" s="35"/>
      <c r="C9" s="67" t="s">
        <v>63</v>
      </c>
      <c r="D9" s="68">
        <v>2500</v>
      </c>
    </row>
    <row r="10" spans="1:4" ht="16">
      <c r="A10" s="40"/>
      <c r="B10" s="35"/>
      <c r="C10" s="54"/>
      <c r="D10" s="54"/>
    </row>
    <row r="11" spans="1:4" ht="16">
      <c r="A11" s="38" t="s">
        <v>5</v>
      </c>
      <c r="B11" s="36">
        <f>SUM(B3:B10)</f>
        <v>319990</v>
      </c>
      <c r="C11" s="38" t="s">
        <v>12</v>
      </c>
      <c r="D11" s="36">
        <f>SUM(D3:D9)</f>
        <v>241348</v>
      </c>
    </row>
  </sheetData>
  <mergeCells count="1">
    <mergeCell ref="A1:D1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3"/>
  <sheetViews>
    <sheetView tabSelected="1" topLeftCell="A59" zoomScale="125" zoomScaleNormal="125" zoomScalePageLayoutView="125" workbookViewId="0">
      <selection activeCell="E82" sqref="E82"/>
    </sheetView>
  </sheetViews>
  <sheetFormatPr baseColWidth="10" defaultRowHeight="15" x14ac:dyDescent="0"/>
  <cols>
    <col min="1" max="1" width="28.1640625" customWidth="1"/>
    <col min="2" max="2" width="25.83203125" customWidth="1"/>
    <col min="4" max="4" width="16.33203125" customWidth="1"/>
    <col min="5" max="5" width="19.6640625" customWidth="1"/>
    <col min="6" max="6" width="23.1640625" customWidth="1"/>
    <col min="7" max="7" width="22.6640625" customWidth="1"/>
    <col min="8" max="8" width="18.6640625" customWidth="1"/>
    <col min="9" max="9" width="11.5" bestFit="1" customWidth="1"/>
  </cols>
  <sheetData>
    <row r="1" spans="1:9" ht="16" customHeight="1">
      <c r="A1" s="119" t="s">
        <v>65</v>
      </c>
      <c r="B1" s="119"/>
      <c r="C1" s="41" t="s">
        <v>3</v>
      </c>
      <c r="D1" s="41" t="s">
        <v>67</v>
      </c>
      <c r="E1" s="39" t="s">
        <v>66</v>
      </c>
      <c r="F1" s="55" t="s">
        <v>68</v>
      </c>
      <c r="G1" s="55" t="s">
        <v>71</v>
      </c>
      <c r="H1" s="55" t="s">
        <v>113</v>
      </c>
    </row>
    <row r="2" spans="1:9" ht="16">
      <c r="A2" s="120" t="s">
        <v>74</v>
      </c>
      <c r="B2" s="120"/>
      <c r="C2" s="54">
        <v>1</v>
      </c>
      <c r="D2" s="56">
        <v>4856.46</v>
      </c>
      <c r="E2" s="56">
        <f t="shared" ref="E2:E13" si="0">C2*D2</f>
        <v>4856.46</v>
      </c>
      <c r="F2" s="57" t="s">
        <v>45</v>
      </c>
      <c r="G2" s="54" t="s">
        <v>84</v>
      </c>
      <c r="H2" s="64" t="s">
        <v>114</v>
      </c>
    </row>
    <row r="3" spans="1:9" ht="16">
      <c r="A3" s="123" t="s">
        <v>78</v>
      </c>
      <c r="B3" s="124"/>
      <c r="C3" s="54">
        <v>1</v>
      </c>
      <c r="D3" s="78">
        <v>1824.17</v>
      </c>
      <c r="E3" s="56">
        <f t="shared" si="0"/>
        <v>1824.17</v>
      </c>
      <c r="F3" s="57" t="s">
        <v>44</v>
      </c>
      <c r="G3" s="54" t="s">
        <v>83</v>
      </c>
      <c r="H3" s="64" t="s">
        <v>114</v>
      </c>
    </row>
    <row r="4" spans="1:9" ht="16">
      <c r="A4" s="123" t="s">
        <v>79</v>
      </c>
      <c r="B4" s="124"/>
      <c r="C4" s="54">
        <v>1</v>
      </c>
      <c r="D4" s="78">
        <v>1011.28</v>
      </c>
      <c r="E4" s="56">
        <f t="shared" si="0"/>
        <v>1011.28</v>
      </c>
      <c r="F4" s="57" t="s">
        <v>44</v>
      </c>
      <c r="G4" s="54" t="s">
        <v>82</v>
      </c>
      <c r="H4" s="64" t="s">
        <v>114</v>
      </c>
    </row>
    <row r="5" spans="1:9" ht="16">
      <c r="A5" s="123" t="s">
        <v>80</v>
      </c>
      <c r="B5" s="124"/>
      <c r="C5" s="54">
        <v>1</v>
      </c>
      <c r="D5" s="78">
        <f>919.38+73.83+100</f>
        <v>1093.21</v>
      </c>
      <c r="E5" s="56">
        <f t="shared" si="0"/>
        <v>1093.21</v>
      </c>
      <c r="F5" s="57" t="s">
        <v>44</v>
      </c>
      <c r="G5" s="54" t="s">
        <v>82</v>
      </c>
      <c r="H5" s="64" t="s">
        <v>114</v>
      </c>
    </row>
    <row r="6" spans="1:9" ht="16">
      <c r="A6" s="120" t="s">
        <v>85</v>
      </c>
      <c r="B6" s="120"/>
      <c r="C6" s="54">
        <v>1</v>
      </c>
      <c r="D6" s="78">
        <v>1730.33</v>
      </c>
      <c r="E6" s="56">
        <f t="shared" si="0"/>
        <v>1730.33</v>
      </c>
      <c r="F6" s="57" t="s">
        <v>44</v>
      </c>
      <c r="G6" s="54" t="s">
        <v>82</v>
      </c>
      <c r="H6" s="64" t="s">
        <v>114</v>
      </c>
      <c r="I6" s="63"/>
    </row>
    <row r="7" spans="1:9" ht="16">
      <c r="A7" s="120" t="s">
        <v>86</v>
      </c>
      <c r="B7" s="120"/>
      <c r="C7" s="54">
        <v>1</v>
      </c>
      <c r="D7" s="78">
        <f>660.84+768.36</f>
        <v>1429.2</v>
      </c>
      <c r="E7" s="56">
        <f t="shared" si="0"/>
        <v>1429.2</v>
      </c>
      <c r="F7" s="57" t="s">
        <v>44</v>
      </c>
      <c r="G7" s="54" t="s">
        <v>89</v>
      </c>
      <c r="H7" s="64" t="s">
        <v>114</v>
      </c>
    </row>
    <row r="8" spans="1:9" ht="16">
      <c r="A8" s="120" t="s">
        <v>87</v>
      </c>
      <c r="B8" s="120"/>
      <c r="C8" s="54">
        <v>1</v>
      </c>
      <c r="D8" s="78">
        <v>959.88</v>
      </c>
      <c r="E8" s="56">
        <f t="shared" si="0"/>
        <v>959.88</v>
      </c>
      <c r="F8" s="57" t="s">
        <v>44</v>
      </c>
      <c r="G8" s="54" t="s">
        <v>88</v>
      </c>
      <c r="H8" s="64" t="s">
        <v>114</v>
      </c>
    </row>
    <row r="9" spans="1:9" ht="16">
      <c r="A9" s="123" t="s">
        <v>90</v>
      </c>
      <c r="B9" s="124"/>
      <c r="C9" s="54">
        <v>1</v>
      </c>
      <c r="D9" s="78">
        <v>1842.3</v>
      </c>
      <c r="E9" s="56">
        <f t="shared" si="0"/>
        <v>1842.3</v>
      </c>
      <c r="F9" s="57" t="s">
        <v>44</v>
      </c>
      <c r="G9" s="54" t="s">
        <v>82</v>
      </c>
      <c r="H9" s="64" t="s">
        <v>114</v>
      </c>
    </row>
    <row r="10" spans="1:9" ht="16">
      <c r="A10" s="123" t="s">
        <v>94</v>
      </c>
      <c r="B10" s="124"/>
      <c r="C10" s="54">
        <v>1</v>
      </c>
      <c r="D10" s="78">
        <v>1320.33</v>
      </c>
      <c r="E10" s="56">
        <f t="shared" si="0"/>
        <v>1320.33</v>
      </c>
      <c r="F10" s="57" t="s">
        <v>44</v>
      </c>
      <c r="G10" s="54" t="s">
        <v>82</v>
      </c>
      <c r="H10" s="64" t="s">
        <v>114</v>
      </c>
    </row>
    <row r="11" spans="1:9" ht="16">
      <c r="A11" s="123" t="s">
        <v>95</v>
      </c>
      <c r="B11" s="124"/>
      <c r="C11" s="54">
        <v>1</v>
      </c>
      <c r="D11" s="78">
        <v>1113.72</v>
      </c>
      <c r="E11" s="56">
        <f t="shared" si="0"/>
        <v>1113.72</v>
      </c>
      <c r="F11" s="57" t="s">
        <v>44</v>
      </c>
      <c r="G11" s="54" t="s">
        <v>82</v>
      </c>
      <c r="H11" s="64" t="s">
        <v>114</v>
      </c>
    </row>
    <row r="12" spans="1:9" ht="16">
      <c r="A12" s="123" t="s">
        <v>124</v>
      </c>
      <c r="B12" s="124"/>
      <c r="C12" s="54">
        <v>1</v>
      </c>
      <c r="D12" s="56">
        <v>6035</v>
      </c>
      <c r="E12" s="78">
        <f t="shared" si="0"/>
        <v>6035</v>
      </c>
      <c r="F12" s="57" t="s">
        <v>45</v>
      </c>
      <c r="G12" s="54" t="s">
        <v>125</v>
      </c>
      <c r="H12" s="57" t="s">
        <v>116</v>
      </c>
    </row>
    <row r="13" spans="1:9" ht="16">
      <c r="A13" s="123" t="s">
        <v>122</v>
      </c>
      <c r="B13" s="124"/>
      <c r="C13" s="54">
        <v>1</v>
      </c>
      <c r="D13" s="56">
        <v>2349.5300000000002</v>
      </c>
      <c r="E13" s="78">
        <f t="shared" si="0"/>
        <v>2349.5300000000002</v>
      </c>
      <c r="F13" s="57" t="s">
        <v>140</v>
      </c>
      <c r="G13" s="54" t="s">
        <v>82</v>
      </c>
      <c r="H13" s="57" t="s">
        <v>116</v>
      </c>
      <c r="I13" s="63"/>
    </row>
    <row r="14" spans="1:9" ht="16">
      <c r="A14" s="123" t="s">
        <v>123</v>
      </c>
      <c r="B14" s="124"/>
      <c r="C14" s="54">
        <v>1</v>
      </c>
      <c r="D14" s="56">
        <v>2349.5300000000002</v>
      </c>
      <c r="E14" s="78">
        <f t="shared" ref="E14:E17" si="1">C14*D14</f>
        <v>2349.5300000000002</v>
      </c>
      <c r="F14" s="57" t="s">
        <v>140</v>
      </c>
      <c r="G14" s="54" t="s">
        <v>82</v>
      </c>
      <c r="H14" s="57" t="s">
        <v>116</v>
      </c>
    </row>
    <row r="15" spans="1:9" ht="16">
      <c r="A15" s="123" t="s">
        <v>136</v>
      </c>
      <c r="B15" s="124"/>
      <c r="C15" s="54">
        <v>1</v>
      </c>
      <c r="D15" s="56">
        <v>1794.47</v>
      </c>
      <c r="E15" s="78">
        <f t="shared" si="1"/>
        <v>1794.47</v>
      </c>
      <c r="F15" s="57" t="s">
        <v>140</v>
      </c>
      <c r="G15" s="54" t="s">
        <v>82</v>
      </c>
      <c r="H15" s="57" t="s">
        <v>116</v>
      </c>
    </row>
    <row r="16" spans="1:9" ht="16">
      <c r="A16" s="123" t="s">
        <v>137</v>
      </c>
      <c r="B16" s="124"/>
      <c r="C16" s="54">
        <v>1</v>
      </c>
      <c r="D16" s="56">
        <v>2183.1999999999998</v>
      </c>
      <c r="E16" s="78">
        <f t="shared" si="1"/>
        <v>2183.1999999999998</v>
      </c>
      <c r="F16" s="57" t="s">
        <v>140</v>
      </c>
      <c r="G16" s="54" t="s">
        <v>88</v>
      </c>
      <c r="H16" s="57" t="s">
        <v>116</v>
      </c>
    </row>
    <row r="17" spans="1:9" ht="16">
      <c r="A17" s="120" t="s">
        <v>135</v>
      </c>
      <c r="B17" s="120"/>
      <c r="C17" s="54">
        <v>1</v>
      </c>
      <c r="D17" s="56">
        <v>1724.81</v>
      </c>
      <c r="E17" s="78">
        <f t="shared" si="1"/>
        <v>1724.81</v>
      </c>
      <c r="F17" s="57" t="s">
        <v>140</v>
      </c>
      <c r="G17" s="54" t="s">
        <v>88</v>
      </c>
      <c r="H17" s="57" t="s">
        <v>116</v>
      </c>
    </row>
    <row r="18" spans="1:9" ht="16">
      <c r="A18" s="154" t="s">
        <v>12</v>
      </c>
      <c r="B18" s="155"/>
      <c r="C18" s="58">
        <f>SUM(C2:C17)</f>
        <v>16</v>
      </c>
      <c r="D18" s="59">
        <f>SUM(D2:D17)</f>
        <v>33617.42</v>
      </c>
      <c r="E18" s="59">
        <f>SUM(E2:E17)</f>
        <v>33617.42</v>
      </c>
      <c r="F18" s="58"/>
      <c r="G18" s="58"/>
      <c r="H18" s="58"/>
      <c r="I18" s="63"/>
    </row>
    <row r="19" spans="1:9" ht="16">
      <c r="A19" s="2"/>
      <c r="B19" s="2"/>
    </row>
    <row r="20" spans="1:9" ht="16">
      <c r="A20" s="119" t="s">
        <v>70</v>
      </c>
      <c r="B20" s="119"/>
      <c r="C20" s="53" t="s">
        <v>3</v>
      </c>
      <c r="D20" s="53" t="s">
        <v>67</v>
      </c>
      <c r="E20" s="52" t="s">
        <v>66</v>
      </c>
      <c r="F20" s="55" t="s">
        <v>68</v>
      </c>
      <c r="G20" s="55" t="s">
        <v>71</v>
      </c>
      <c r="H20" s="55" t="s">
        <v>113</v>
      </c>
    </row>
    <row r="21" spans="1:9" ht="16">
      <c r="A21" s="120" t="s">
        <v>74</v>
      </c>
      <c r="B21" s="120"/>
      <c r="C21" s="54">
        <v>6</v>
      </c>
      <c r="D21" s="61">
        <v>265.2</v>
      </c>
      <c r="E21" s="56">
        <f t="shared" ref="E21:E27" si="2">C21*D21</f>
        <v>1591.1999999999998</v>
      </c>
      <c r="F21" s="64" t="s">
        <v>45</v>
      </c>
      <c r="G21" s="57" t="s">
        <v>81</v>
      </c>
      <c r="H21" s="64" t="s">
        <v>116</v>
      </c>
    </row>
    <row r="22" spans="1:9" ht="16">
      <c r="A22" s="123" t="s">
        <v>124</v>
      </c>
      <c r="B22" s="124"/>
      <c r="C22" s="54">
        <v>4</v>
      </c>
      <c r="D22" s="61">
        <v>265.2</v>
      </c>
      <c r="E22" s="56">
        <f t="shared" si="2"/>
        <v>1060.8</v>
      </c>
      <c r="F22" s="64" t="s">
        <v>59</v>
      </c>
      <c r="G22" s="57" t="s">
        <v>81</v>
      </c>
      <c r="H22" s="64" t="s">
        <v>114</v>
      </c>
    </row>
    <row r="23" spans="1:9" ht="16">
      <c r="A23" s="123" t="s">
        <v>138</v>
      </c>
      <c r="B23" s="124"/>
      <c r="C23" s="54">
        <v>7</v>
      </c>
      <c r="D23" s="61">
        <v>265.2</v>
      </c>
      <c r="E23" s="56">
        <f t="shared" si="2"/>
        <v>1856.3999999999999</v>
      </c>
      <c r="F23" s="64" t="s">
        <v>59</v>
      </c>
      <c r="G23" s="57" t="s">
        <v>81</v>
      </c>
      <c r="H23" s="64" t="s">
        <v>116</v>
      </c>
    </row>
    <row r="24" spans="1:9" ht="16">
      <c r="A24" s="123" t="s">
        <v>78</v>
      </c>
      <c r="B24" s="124"/>
      <c r="C24" s="54">
        <v>2</v>
      </c>
      <c r="D24" s="61">
        <v>200</v>
      </c>
      <c r="E24" s="56">
        <f t="shared" si="2"/>
        <v>400</v>
      </c>
      <c r="F24" s="64" t="s">
        <v>45</v>
      </c>
      <c r="G24" s="57"/>
      <c r="H24" s="64" t="s">
        <v>116</v>
      </c>
    </row>
    <row r="25" spans="1:9" ht="16">
      <c r="A25" s="123" t="s">
        <v>79</v>
      </c>
      <c r="B25" s="124"/>
      <c r="C25" s="54">
        <v>2</v>
      </c>
      <c r="D25" s="61">
        <v>200</v>
      </c>
      <c r="E25" s="56">
        <f t="shared" si="2"/>
        <v>400</v>
      </c>
      <c r="F25" s="64" t="s">
        <v>45</v>
      </c>
      <c r="G25" s="57"/>
      <c r="H25" s="64" t="s">
        <v>116</v>
      </c>
    </row>
    <row r="26" spans="1:9" ht="16">
      <c r="A26" s="123" t="s">
        <v>94</v>
      </c>
      <c r="B26" s="124"/>
      <c r="C26" s="54">
        <v>2</v>
      </c>
      <c r="D26" s="61">
        <v>200</v>
      </c>
      <c r="E26" s="56">
        <f t="shared" si="2"/>
        <v>400</v>
      </c>
      <c r="F26" s="64" t="s">
        <v>45</v>
      </c>
      <c r="G26" s="57"/>
      <c r="H26" s="64" t="s">
        <v>116</v>
      </c>
    </row>
    <row r="27" spans="1:9" ht="16">
      <c r="A27" s="120" t="s">
        <v>87</v>
      </c>
      <c r="B27" s="120"/>
      <c r="C27" s="54">
        <v>2</v>
      </c>
      <c r="D27" s="80">
        <v>200</v>
      </c>
      <c r="E27" s="56">
        <f t="shared" si="2"/>
        <v>400</v>
      </c>
      <c r="F27" s="64" t="s">
        <v>45</v>
      </c>
      <c r="G27" s="57"/>
      <c r="H27" s="64" t="s">
        <v>116</v>
      </c>
    </row>
    <row r="28" spans="1:9" ht="16">
      <c r="A28" s="123" t="s">
        <v>80</v>
      </c>
      <c r="B28" s="124"/>
      <c r="C28" s="54">
        <v>7</v>
      </c>
      <c r="D28" s="61">
        <f t="shared" ref="D28:D37" si="3">169.32</f>
        <v>169.32</v>
      </c>
      <c r="E28" s="56">
        <f t="shared" ref="E28:E37" si="4">(C28*D28)+((C28*D28)*0.12)</f>
        <v>1327.4688000000001</v>
      </c>
      <c r="F28" s="64" t="s">
        <v>59</v>
      </c>
      <c r="G28" s="57" t="s">
        <v>151</v>
      </c>
      <c r="H28" s="64" t="s">
        <v>114</v>
      </c>
    </row>
    <row r="29" spans="1:9" ht="16">
      <c r="A29" s="120" t="s">
        <v>85</v>
      </c>
      <c r="B29" s="120"/>
      <c r="C29" s="54">
        <v>4</v>
      </c>
      <c r="D29" s="61">
        <f t="shared" si="3"/>
        <v>169.32</v>
      </c>
      <c r="E29" s="56">
        <f t="shared" si="4"/>
        <v>758.55359999999996</v>
      </c>
      <c r="F29" s="64" t="s">
        <v>59</v>
      </c>
      <c r="G29" s="57" t="s">
        <v>151</v>
      </c>
      <c r="H29" s="64" t="s">
        <v>114</v>
      </c>
    </row>
    <row r="30" spans="1:9" ht="16">
      <c r="A30" s="120" t="s">
        <v>86</v>
      </c>
      <c r="B30" s="120"/>
      <c r="C30" s="54">
        <v>4</v>
      </c>
      <c r="D30" s="61">
        <f t="shared" si="3"/>
        <v>169.32</v>
      </c>
      <c r="E30" s="56">
        <f t="shared" si="4"/>
        <v>758.55359999999996</v>
      </c>
      <c r="F30" s="64" t="s">
        <v>59</v>
      </c>
      <c r="G30" s="57" t="s">
        <v>151</v>
      </c>
      <c r="H30" s="64" t="s">
        <v>114</v>
      </c>
    </row>
    <row r="31" spans="1:9" ht="16">
      <c r="A31" s="123" t="s">
        <v>90</v>
      </c>
      <c r="B31" s="124"/>
      <c r="C31" s="54">
        <v>4</v>
      </c>
      <c r="D31" s="61">
        <f t="shared" si="3"/>
        <v>169.32</v>
      </c>
      <c r="E31" s="56">
        <f t="shared" si="4"/>
        <v>758.55359999999996</v>
      </c>
      <c r="F31" s="64" t="s">
        <v>59</v>
      </c>
      <c r="G31" s="57" t="s">
        <v>151</v>
      </c>
      <c r="H31" s="64" t="s">
        <v>114</v>
      </c>
    </row>
    <row r="32" spans="1:9" ht="16">
      <c r="A32" s="123" t="s">
        <v>95</v>
      </c>
      <c r="B32" s="124"/>
      <c r="C32" s="54">
        <v>4</v>
      </c>
      <c r="D32" s="61">
        <f t="shared" si="3"/>
        <v>169.32</v>
      </c>
      <c r="E32" s="56">
        <f t="shared" si="4"/>
        <v>758.55359999999996</v>
      </c>
      <c r="F32" s="64" t="s">
        <v>59</v>
      </c>
      <c r="G32" s="57" t="s">
        <v>151</v>
      </c>
      <c r="H32" s="64" t="s">
        <v>114</v>
      </c>
    </row>
    <row r="33" spans="1:10" ht="16">
      <c r="A33" s="123" t="s">
        <v>122</v>
      </c>
      <c r="B33" s="124"/>
      <c r="C33" s="54">
        <v>1</v>
      </c>
      <c r="D33" s="61">
        <f t="shared" si="3"/>
        <v>169.32</v>
      </c>
      <c r="E33" s="56">
        <f t="shared" si="4"/>
        <v>189.63839999999999</v>
      </c>
      <c r="F33" s="64" t="s">
        <v>59</v>
      </c>
      <c r="G33" s="57" t="s">
        <v>151</v>
      </c>
      <c r="H33" s="64" t="s">
        <v>114</v>
      </c>
    </row>
    <row r="34" spans="1:10" ht="16">
      <c r="A34" s="123" t="s">
        <v>123</v>
      </c>
      <c r="B34" s="124"/>
      <c r="C34" s="54">
        <v>1</v>
      </c>
      <c r="D34" s="61">
        <f t="shared" si="3"/>
        <v>169.32</v>
      </c>
      <c r="E34" s="56">
        <f t="shared" si="4"/>
        <v>189.63839999999999</v>
      </c>
      <c r="F34" s="64" t="s">
        <v>59</v>
      </c>
      <c r="G34" s="57" t="s">
        <v>151</v>
      </c>
      <c r="H34" s="64" t="s">
        <v>114</v>
      </c>
    </row>
    <row r="35" spans="1:10" ht="16">
      <c r="A35" s="123" t="s">
        <v>136</v>
      </c>
      <c r="B35" s="124"/>
      <c r="C35" s="54">
        <v>2</v>
      </c>
      <c r="D35" s="61">
        <f t="shared" si="3"/>
        <v>169.32</v>
      </c>
      <c r="E35" s="56">
        <f t="shared" si="4"/>
        <v>379.27679999999998</v>
      </c>
      <c r="F35" s="64" t="s">
        <v>59</v>
      </c>
      <c r="G35" s="57" t="s">
        <v>151</v>
      </c>
      <c r="H35" s="64" t="s">
        <v>114</v>
      </c>
    </row>
    <row r="36" spans="1:10" ht="16">
      <c r="A36" s="123" t="s">
        <v>137</v>
      </c>
      <c r="B36" s="124"/>
      <c r="C36" s="54">
        <v>2</v>
      </c>
      <c r="D36" s="61">
        <f t="shared" si="3"/>
        <v>169.32</v>
      </c>
      <c r="E36" s="56">
        <f t="shared" si="4"/>
        <v>379.27679999999998</v>
      </c>
      <c r="F36" s="64" t="s">
        <v>59</v>
      </c>
      <c r="G36" s="57" t="s">
        <v>151</v>
      </c>
      <c r="H36" s="64" t="s">
        <v>114</v>
      </c>
    </row>
    <row r="37" spans="1:10" ht="16">
      <c r="A37" s="120" t="s">
        <v>135</v>
      </c>
      <c r="B37" s="120"/>
      <c r="C37" s="54">
        <v>2</v>
      </c>
      <c r="D37" s="61">
        <f t="shared" si="3"/>
        <v>169.32</v>
      </c>
      <c r="E37" s="56">
        <f t="shared" si="4"/>
        <v>379.27679999999998</v>
      </c>
      <c r="F37" s="64" t="s">
        <v>59</v>
      </c>
      <c r="G37" s="57" t="s">
        <v>151</v>
      </c>
      <c r="H37" s="64" t="s">
        <v>114</v>
      </c>
      <c r="I37" s="63"/>
    </row>
    <row r="38" spans="1:10" ht="16">
      <c r="A38" s="154" t="s">
        <v>12</v>
      </c>
      <c r="B38" s="155"/>
      <c r="C38" s="58">
        <f>SUM(C21:C37)</f>
        <v>56</v>
      </c>
      <c r="D38" s="59">
        <f>SUM(D21:D37)</f>
        <v>3288.8000000000011</v>
      </c>
      <c r="E38" s="59">
        <f>SUM(E21:E37)</f>
        <v>11987.190399999996</v>
      </c>
      <c r="F38" s="58"/>
      <c r="G38" s="58"/>
      <c r="H38" s="58"/>
      <c r="I38" s="63">
        <f>SUM(E28:E37)</f>
        <v>5878.790399999999</v>
      </c>
    </row>
    <row r="39" spans="1:10" ht="16">
      <c r="A39" s="2"/>
      <c r="B39" s="2"/>
    </row>
    <row r="40" spans="1:10" ht="16">
      <c r="A40" s="119" t="s">
        <v>18</v>
      </c>
      <c r="B40" s="119"/>
      <c r="C40" s="53" t="s">
        <v>3</v>
      </c>
      <c r="D40" s="53" t="s">
        <v>67</v>
      </c>
      <c r="E40" s="52" t="s">
        <v>66</v>
      </c>
      <c r="F40" s="55" t="s">
        <v>68</v>
      </c>
      <c r="G40" s="55" t="s">
        <v>71</v>
      </c>
      <c r="H40" s="55" t="s">
        <v>113</v>
      </c>
    </row>
    <row r="41" spans="1:10" ht="16">
      <c r="A41" s="123" t="s">
        <v>91</v>
      </c>
      <c r="B41" s="124"/>
      <c r="C41" s="54">
        <v>1</v>
      </c>
      <c r="D41" s="61">
        <v>31158</v>
      </c>
      <c r="E41" s="56">
        <f t="shared" ref="E41:E46" si="5">C41*D41</f>
        <v>31158</v>
      </c>
      <c r="F41" s="57" t="s">
        <v>45</v>
      </c>
      <c r="G41" s="57" t="s">
        <v>73</v>
      </c>
      <c r="H41" s="64" t="s">
        <v>114</v>
      </c>
    </row>
    <row r="42" spans="1:10" ht="16">
      <c r="A42" s="123" t="s">
        <v>20</v>
      </c>
      <c r="B42" s="124"/>
      <c r="C42" s="54">
        <v>2</v>
      </c>
      <c r="D42" s="61">
        <v>2098</v>
      </c>
      <c r="E42" s="56">
        <f t="shared" si="5"/>
        <v>4196</v>
      </c>
      <c r="F42" s="57" t="s">
        <v>59</v>
      </c>
      <c r="G42" s="57" t="s">
        <v>121</v>
      </c>
      <c r="H42" s="64" t="s">
        <v>114</v>
      </c>
    </row>
    <row r="43" spans="1:10" ht="16">
      <c r="A43" s="123" t="s">
        <v>21</v>
      </c>
      <c r="B43" s="124"/>
      <c r="C43" s="54">
        <v>4</v>
      </c>
      <c r="D43" s="61">
        <v>0</v>
      </c>
      <c r="E43" s="56">
        <f t="shared" si="5"/>
        <v>0</v>
      </c>
      <c r="F43" s="169" t="s">
        <v>191</v>
      </c>
      <c r="G43" s="170"/>
      <c r="H43" s="171"/>
    </row>
    <row r="44" spans="1:10" ht="16">
      <c r="A44" s="123" t="s">
        <v>22</v>
      </c>
      <c r="B44" s="124"/>
      <c r="C44" s="54">
        <v>1</v>
      </c>
      <c r="D44" s="61">
        <v>7000</v>
      </c>
      <c r="E44" s="56">
        <f t="shared" si="5"/>
        <v>7000</v>
      </c>
      <c r="F44" s="57" t="s">
        <v>117</v>
      </c>
      <c r="G44" s="57" t="s">
        <v>115</v>
      </c>
      <c r="H44" s="57" t="s">
        <v>114</v>
      </c>
    </row>
    <row r="45" spans="1:10" ht="16">
      <c r="A45" s="123" t="s">
        <v>23</v>
      </c>
      <c r="B45" s="124"/>
      <c r="C45" s="54">
        <v>1</v>
      </c>
      <c r="D45" s="61">
        <v>2994</v>
      </c>
      <c r="E45" s="56">
        <f t="shared" si="5"/>
        <v>2994</v>
      </c>
      <c r="F45" s="57" t="s">
        <v>117</v>
      </c>
      <c r="G45" s="57" t="s">
        <v>190</v>
      </c>
      <c r="H45" s="57" t="s">
        <v>114</v>
      </c>
    </row>
    <row r="46" spans="1:10" ht="16">
      <c r="A46" s="123" t="s">
        <v>126</v>
      </c>
      <c r="B46" s="124"/>
      <c r="C46" s="54">
        <v>19</v>
      </c>
      <c r="D46" s="61">
        <v>95</v>
      </c>
      <c r="E46" s="56">
        <f t="shared" si="5"/>
        <v>1805</v>
      </c>
      <c r="F46" s="57" t="s">
        <v>69</v>
      </c>
      <c r="G46" s="57" t="s">
        <v>178</v>
      </c>
      <c r="H46" s="57" t="s">
        <v>114</v>
      </c>
      <c r="J46" s="96" t="s">
        <v>197</v>
      </c>
    </row>
    <row r="47" spans="1:10" ht="16">
      <c r="A47" s="123"/>
      <c r="B47" s="124"/>
      <c r="C47" s="54"/>
      <c r="D47" s="54"/>
      <c r="E47" s="54"/>
      <c r="F47" s="54"/>
      <c r="G47" s="57"/>
      <c r="H47" s="92"/>
    </row>
    <row r="48" spans="1:10" ht="16">
      <c r="A48" s="154" t="s">
        <v>12</v>
      </c>
      <c r="B48" s="155"/>
      <c r="C48" s="58">
        <f>SUM(C41:C47)</f>
        <v>28</v>
      </c>
      <c r="D48" s="59">
        <f>SUM(D41:D47)</f>
        <v>43345</v>
      </c>
      <c r="E48" s="59">
        <f>SUM(E41:E47)</f>
        <v>47153</v>
      </c>
      <c r="F48" s="58"/>
      <c r="G48" s="58"/>
      <c r="H48" s="58"/>
    </row>
    <row r="49" spans="1:8" ht="16">
      <c r="A49" s="19"/>
      <c r="B49" s="19"/>
    </row>
    <row r="50" spans="1:8" ht="16">
      <c r="A50" s="119" t="s">
        <v>26</v>
      </c>
      <c r="B50" s="119"/>
      <c r="C50" s="53" t="s">
        <v>3</v>
      </c>
      <c r="D50" s="53" t="s">
        <v>67</v>
      </c>
      <c r="E50" s="52" t="s">
        <v>66</v>
      </c>
      <c r="F50" s="55" t="s">
        <v>68</v>
      </c>
      <c r="G50" s="55" t="s">
        <v>71</v>
      </c>
      <c r="H50" s="55" t="s">
        <v>113</v>
      </c>
    </row>
    <row r="51" spans="1:8" ht="16">
      <c r="A51" s="120" t="s">
        <v>193</v>
      </c>
      <c r="B51" s="120"/>
      <c r="C51" s="54">
        <v>300</v>
      </c>
      <c r="D51" s="60">
        <v>4.3</v>
      </c>
      <c r="E51" s="60">
        <f t="shared" ref="E51:E59" si="6">C51*D51</f>
        <v>1290</v>
      </c>
      <c r="F51" s="57" t="s">
        <v>59</v>
      </c>
      <c r="G51" s="57" t="s">
        <v>143</v>
      </c>
      <c r="H51" s="64" t="s">
        <v>116</v>
      </c>
    </row>
    <row r="52" spans="1:8" ht="16" customHeight="1">
      <c r="A52" s="163" t="s">
        <v>28</v>
      </c>
      <c r="B52" s="164"/>
      <c r="C52" s="54">
        <v>1</v>
      </c>
      <c r="D52" s="60">
        <v>855</v>
      </c>
      <c r="E52" s="60">
        <f t="shared" si="6"/>
        <v>855</v>
      </c>
      <c r="F52" s="57" t="s">
        <v>69</v>
      </c>
      <c r="G52" s="57" t="s">
        <v>72</v>
      </c>
      <c r="H52" s="64" t="s">
        <v>114</v>
      </c>
    </row>
    <row r="53" spans="1:8" ht="16" customHeight="1">
      <c r="A53" s="165"/>
      <c r="B53" s="166"/>
      <c r="C53" s="54">
        <v>1</v>
      </c>
      <c r="D53" s="60">
        <v>230</v>
      </c>
      <c r="E53" s="60">
        <f t="shared" si="6"/>
        <v>230</v>
      </c>
      <c r="F53" s="57" t="s">
        <v>69</v>
      </c>
      <c r="G53" s="57" t="s">
        <v>75</v>
      </c>
      <c r="H53" s="64" t="s">
        <v>114</v>
      </c>
    </row>
    <row r="54" spans="1:8" ht="16" customHeight="1">
      <c r="A54" s="165"/>
      <c r="B54" s="166"/>
      <c r="C54" s="54">
        <v>1</v>
      </c>
      <c r="D54" s="60">
        <v>230</v>
      </c>
      <c r="E54" s="60">
        <f t="shared" si="6"/>
        <v>230</v>
      </c>
      <c r="F54" s="57" t="s">
        <v>92</v>
      </c>
      <c r="G54" s="57" t="s">
        <v>75</v>
      </c>
      <c r="H54" s="64" t="s">
        <v>114</v>
      </c>
    </row>
    <row r="55" spans="1:8" ht="16" customHeight="1">
      <c r="A55" s="167"/>
      <c r="B55" s="168"/>
      <c r="C55" s="54">
        <v>1</v>
      </c>
      <c r="D55" s="60">
        <v>230</v>
      </c>
      <c r="E55" s="60">
        <f t="shared" si="6"/>
        <v>230</v>
      </c>
      <c r="F55" s="57" t="s">
        <v>92</v>
      </c>
      <c r="G55" s="57" t="s">
        <v>93</v>
      </c>
      <c r="H55" s="64" t="s">
        <v>114</v>
      </c>
    </row>
    <row r="56" spans="1:8" ht="16">
      <c r="A56" s="120" t="s">
        <v>29</v>
      </c>
      <c r="B56" s="120"/>
      <c r="C56" s="54">
        <v>1</v>
      </c>
      <c r="D56" s="60">
        <v>2351</v>
      </c>
      <c r="E56" s="60">
        <f t="shared" si="6"/>
        <v>2351</v>
      </c>
      <c r="F56" s="57" t="s">
        <v>69</v>
      </c>
      <c r="G56" s="57" t="s">
        <v>143</v>
      </c>
      <c r="H56" s="64" t="s">
        <v>114</v>
      </c>
    </row>
    <row r="57" spans="1:8" ht="16">
      <c r="A57" s="120" t="s">
        <v>30</v>
      </c>
      <c r="B57" s="120"/>
      <c r="C57" s="54">
        <v>120</v>
      </c>
      <c r="D57" s="60">
        <v>19.350000000000001</v>
      </c>
      <c r="E57" s="60">
        <f t="shared" si="6"/>
        <v>2322</v>
      </c>
      <c r="F57" s="57" t="s">
        <v>69</v>
      </c>
      <c r="G57" s="57" t="s">
        <v>143</v>
      </c>
      <c r="H57" s="64" t="s">
        <v>114</v>
      </c>
    </row>
    <row r="58" spans="1:8" ht="16">
      <c r="A58" s="175" t="s">
        <v>129</v>
      </c>
      <c r="B58" s="176"/>
      <c r="C58" s="54">
        <v>1</v>
      </c>
      <c r="D58" s="60">
        <v>120</v>
      </c>
      <c r="E58" s="60">
        <f t="shared" si="6"/>
        <v>120</v>
      </c>
      <c r="F58" s="57" t="s">
        <v>69</v>
      </c>
      <c r="G58" s="57"/>
      <c r="H58" s="57" t="s">
        <v>114</v>
      </c>
    </row>
    <row r="59" spans="1:8" ht="16">
      <c r="A59" s="175" t="s">
        <v>128</v>
      </c>
      <c r="B59" s="176"/>
      <c r="C59" s="54">
        <v>400</v>
      </c>
      <c r="D59" s="60">
        <v>1</v>
      </c>
      <c r="E59" s="60">
        <f t="shared" si="6"/>
        <v>400</v>
      </c>
      <c r="F59" s="57" t="s">
        <v>69</v>
      </c>
      <c r="G59" s="57" t="s">
        <v>127</v>
      </c>
      <c r="H59" s="64" t="s">
        <v>114</v>
      </c>
    </row>
    <row r="60" spans="1:8" ht="16">
      <c r="A60" s="120" t="s">
        <v>194</v>
      </c>
      <c r="B60" s="120"/>
      <c r="C60" s="172" t="s">
        <v>192</v>
      </c>
      <c r="D60" s="173"/>
      <c r="E60" s="173"/>
      <c r="F60" s="173"/>
      <c r="G60" s="173"/>
      <c r="H60" s="174"/>
    </row>
    <row r="61" spans="1:8" ht="16">
      <c r="A61" s="120" t="s">
        <v>33</v>
      </c>
      <c r="B61" s="120"/>
      <c r="C61" s="54">
        <v>300</v>
      </c>
      <c r="D61" s="60">
        <v>5</v>
      </c>
      <c r="E61" s="60">
        <f>C61*D61</f>
        <v>1500</v>
      </c>
      <c r="F61" s="57" t="s">
        <v>69</v>
      </c>
      <c r="G61" s="57" t="s">
        <v>118</v>
      </c>
      <c r="H61" s="57" t="s">
        <v>114</v>
      </c>
    </row>
    <row r="62" spans="1:8" ht="16">
      <c r="A62" s="120" t="s">
        <v>146</v>
      </c>
      <c r="B62" s="120"/>
      <c r="C62" s="54">
        <v>1</v>
      </c>
      <c r="D62" s="56">
        <v>1942.71</v>
      </c>
      <c r="E62" s="60">
        <f>C62*D62</f>
        <v>1942.71</v>
      </c>
      <c r="F62" s="57" t="s">
        <v>92</v>
      </c>
      <c r="G62" s="57" t="s">
        <v>147</v>
      </c>
      <c r="H62" s="57" t="s">
        <v>114</v>
      </c>
    </row>
    <row r="63" spans="1:8" ht="16">
      <c r="A63" s="154" t="s">
        <v>12</v>
      </c>
      <c r="B63" s="155"/>
      <c r="C63" s="58">
        <f>SUM(C51:C62)</f>
        <v>1127</v>
      </c>
      <c r="D63" s="59">
        <f>SUM(D57:D62)</f>
        <v>2088.06</v>
      </c>
      <c r="E63" s="59">
        <f>SUM(E51:E62)</f>
        <v>11470.71</v>
      </c>
      <c r="F63" s="58"/>
      <c r="G63" s="58"/>
      <c r="H63" s="55"/>
    </row>
    <row r="64" spans="1:8" ht="16">
      <c r="A64" s="24"/>
      <c r="B64" s="1"/>
    </row>
    <row r="65" spans="1:8" ht="16">
      <c r="A65" s="119" t="s">
        <v>35</v>
      </c>
      <c r="B65" s="119"/>
      <c r="C65" s="53" t="s">
        <v>3</v>
      </c>
      <c r="D65" s="53" t="s">
        <v>67</v>
      </c>
      <c r="E65" s="52" t="s">
        <v>66</v>
      </c>
      <c r="F65" s="55" t="s">
        <v>68</v>
      </c>
      <c r="G65" s="55" t="s">
        <v>71</v>
      </c>
      <c r="H65" s="76" t="s">
        <v>113</v>
      </c>
    </row>
    <row r="66" spans="1:8" ht="16">
      <c r="A66" s="112" t="s">
        <v>36</v>
      </c>
      <c r="B66" s="113"/>
      <c r="C66" s="54">
        <v>320</v>
      </c>
      <c r="D66" s="60">
        <v>17</v>
      </c>
      <c r="E66" s="60">
        <f>C66*D66</f>
        <v>5440</v>
      </c>
      <c r="F66" s="57" t="s">
        <v>69</v>
      </c>
      <c r="G66" s="57" t="s">
        <v>118</v>
      </c>
      <c r="H66" s="64" t="s">
        <v>114</v>
      </c>
    </row>
    <row r="67" spans="1:8" ht="16" customHeight="1">
      <c r="A67" s="156" t="s">
        <v>37</v>
      </c>
      <c r="B67" s="157"/>
      <c r="C67" s="54">
        <v>270</v>
      </c>
      <c r="D67" s="60">
        <v>12</v>
      </c>
      <c r="E67" s="60">
        <f>C67*D67</f>
        <v>3240</v>
      </c>
      <c r="F67" s="161" t="s">
        <v>69</v>
      </c>
      <c r="G67" s="161" t="s">
        <v>119</v>
      </c>
      <c r="H67" s="161" t="s">
        <v>114</v>
      </c>
    </row>
    <row r="68" spans="1:8" ht="16" customHeight="1">
      <c r="A68" s="158"/>
      <c r="B68" s="159"/>
      <c r="C68" s="54">
        <v>30</v>
      </c>
      <c r="D68" s="60">
        <v>28</v>
      </c>
      <c r="E68" s="60">
        <f>C68*D68</f>
        <v>840</v>
      </c>
      <c r="F68" s="162"/>
      <c r="G68" s="162"/>
      <c r="H68" s="162"/>
    </row>
    <row r="69" spans="1:8" ht="16" customHeight="1">
      <c r="A69" s="156" t="s">
        <v>139</v>
      </c>
      <c r="B69" s="157"/>
      <c r="C69" s="54">
        <v>50</v>
      </c>
      <c r="D69" s="60">
        <v>1</v>
      </c>
      <c r="E69" s="60">
        <f>C69*D69</f>
        <v>50</v>
      </c>
      <c r="F69" s="161" t="s">
        <v>69</v>
      </c>
      <c r="G69" s="161"/>
      <c r="H69" s="161" t="s">
        <v>114</v>
      </c>
    </row>
    <row r="70" spans="1:8" ht="16" customHeight="1">
      <c r="A70" s="158"/>
      <c r="B70" s="159"/>
      <c r="C70" s="54">
        <v>300</v>
      </c>
      <c r="D70" s="60">
        <v>1.5</v>
      </c>
      <c r="E70" s="60">
        <f>C70*D70</f>
        <v>450</v>
      </c>
      <c r="F70" s="162"/>
      <c r="G70" s="162"/>
      <c r="H70" s="162"/>
    </row>
    <row r="71" spans="1:8" ht="16">
      <c r="A71" s="112" t="s">
        <v>47</v>
      </c>
      <c r="B71" s="113"/>
      <c r="C71" s="54"/>
      <c r="D71" s="54"/>
      <c r="E71" s="54"/>
      <c r="F71" s="54"/>
      <c r="G71" s="54"/>
      <c r="H71" s="54"/>
    </row>
    <row r="72" spans="1:8" ht="16">
      <c r="A72" s="112" t="s">
        <v>48</v>
      </c>
      <c r="B72" s="113"/>
      <c r="C72" s="54"/>
      <c r="D72" s="60"/>
      <c r="E72" s="60"/>
      <c r="F72" s="77" t="s">
        <v>130</v>
      </c>
      <c r="G72" s="54"/>
      <c r="H72" s="64" t="s">
        <v>130</v>
      </c>
    </row>
    <row r="73" spans="1:8" ht="16">
      <c r="A73" s="154" t="s">
        <v>12</v>
      </c>
      <c r="B73" s="155"/>
      <c r="C73" s="58">
        <f>SUM(C65:C72)</f>
        <v>970</v>
      </c>
      <c r="D73" s="59">
        <f>SUM(D65:D72)</f>
        <v>59.5</v>
      </c>
      <c r="E73" s="59">
        <f>SUM(E65:E72)</f>
        <v>10020</v>
      </c>
      <c r="F73" s="58"/>
      <c r="G73" s="58"/>
      <c r="H73" s="76"/>
    </row>
    <row r="74" spans="1:8" ht="16">
      <c r="A74" s="24"/>
      <c r="B74" s="1"/>
    </row>
    <row r="75" spans="1:8" ht="16">
      <c r="A75" s="119" t="s">
        <v>38</v>
      </c>
      <c r="B75" s="119"/>
      <c r="C75" s="53" t="s">
        <v>3</v>
      </c>
      <c r="D75" s="53" t="s">
        <v>67</v>
      </c>
      <c r="E75" s="52" t="s">
        <v>66</v>
      </c>
      <c r="F75" s="55" t="s">
        <v>68</v>
      </c>
      <c r="G75" s="55" t="s">
        <v>71</v>
      </c>
      <c r="H75" s="76" t="s">
        <v>113</v>
      </c>
    </row>
    <row r="76" spans="1:8" ht="16">
      <c r="A76" s="112" t="s">
        <v>39</v>
      </c>
      <c r="B76" s="113"/>
      <c r="C76" s="54">
        <v>1460</v>
      </c>
      <c r="D76" s="56">
        <v>18</v>
      </c>
      <c r="E76" s="60">
        <f>C76*D76</f>
        <v>26280</v>
      </c>
      <c r="F76" s="57" t="s">
        <v>59</v>
      </c>
      <c r="G76" s="57" t="s">
        <v>120</v>
      </c>
      <c r="H76" s="64" t="s">
        <v>114</v>
      </c>
    </row>
    <row r="77" spans="1:8" ht="16">
      <c r="A77" s="112" t="s">
        <v>40</v>
      </c>
      <c r="B77" s="113"/>
      <c r="C77" s="54">
        <v>150</v>
      </c>
      <c r="D77" s="56">
        <v>35</v>
      </c>
      <c r="E77" s="60">
        <f>C77*D77</f>
        <v>5250</v>
      </c>
      <c r="F77" s="57" t="s">
        <v>59</v>
      </c>
      <c r="G77" s="57" t="s">
        <v>120</v>
      </c>
      <c r="H77" s="64" t="s">
        <v>114</v>
      </c>
    </row>
    <row r="78" spans="1:8" ht="16">
      <c r="A78" s="112" t="s">
        <v>54</v>
      </c>
      <c r="B78" s="113"/>
      <c r="C78" s="54">
        <v>50</v>
      </c>
      <c r="D78" s="56">
        <v>80</v>
      </c>
      <c r="E78" s="60">
        <f>C78*D78</f>
        <v>4000</v>
      </c>
      <c r="F78" s="57" t="s">
        <v>59</v>
      </c>
      <c r="G78" s="57" t="s">
        <v>171</v>
      </c>
      <c r="H78" s="64" t="s">
        <v>116</v>
      </c>
    </row>
    <row r="79" spans="1:8">
      <c r="A79" s="160" t="s">
        <v>186</v>
      </c>
      <c r="B79" s="160"/>
      <c r="C79" s="93">
        <v>1</v>
      </c>
      <c r="D79" s="94">
        <v>4544.09</v>
      </c>
      <c r="E79" s="60">
        <f>C79*D79</f>
        <v>4544.09</v>
      </c>
      <c r="F79" s="57" t="s">
        <v>59</v>
      </c>
      <c r="G79" s="95" t="s">
        <v>195</v>
      </c>
      <c r="H79" s="64" t="s">
        <v>116</v>
      </c>
    </row>
    <row r="80" spans="1:8" ht="16">
      <c r="A80" s="154" t="s">
        <v>12</v>
      </c>
      <c r="B80" s="155"/>
      <c r="C80" s="58">
        <f>SUM(C74:C79)</f>
        <v>1661</v>
      </c>
      <c r="D80" s="59">
        <f>SUM(D76:D79)</f>
        <v>4677.09</v>
      </c>
      <c r="E80" s="59">
        <f>SUM(E76:E79)</f>
        <v>40074.089999999997</v>
      </c>
      <c r="F80" s="58"/>
      <c r="G80" s="58"/>
      <c r="H80" s="58"/>
    </row>
    <row r="81" spans="1:8" ht="16">
      <c r="A81" s="2"/>
      <c r="B81" s="2"/>
    </row>
    <row r="82" spans="1:8" ht="16">
      <c r="A82" s="154" t="s">
        <v>43</v>
      </c>
      <c r="B82" s="155"/>
      <c r="C82" s="58"/>
      <c r="D82" s="58"/>
      <c r="E82" s="59">
        <f>E18+E38+E48+E63+E73+E80</f>
        <v>154322.41039999999</v>
      </c>
      <c r="F82" s="58"/>
      <c r="G82" s="62"/>
      <c r="H82" s="58"/>
    </row>
    <row r="83" spans="1:8">
      <c r="A83" s="26"/>
      <c r="B83" s="26"/>
    </row>
  </sheetData>
  <mergeCells count="79">
    <mergeCell ref="F69:F70"/>
    <mergeCell ref="G69:G70"/>
    <mergeCell ref="H69:H70"/>
    <mergeCell ref="A16:B16"/>
    <mergeCell ref="A36:B36"/>
    <mergeCell ref="A23:B23"/>
    <mergeCell ref="A59:B59"/>
    <mergeCell ref="A58:B58"/>
    <mergeCell ref="A27:B27"/>
    <mergeCell ref="A31:B31"/>
    <mergeCell ref="A26:B26"/>
    <mergeCell ref="A32:B32"/>
    <mergeCell ref="A22:B22"/>
    <mergeCell ref="A56:B56"/>
    <mergeCell ref="A57:B57"/>
    <mergeCell ref="A46:B46"/>
    <mergeCell ref="A18:B18"/>
    <mergeCell ref="A44:B44"/>
    <mergeCell ref="A17:B17"/>
    <mergeCell ref="G67:G68"/>
    <mergeCell ref="H67:H68"/>
    <mergeCell ref="A52:B55"/>
    <mergeCell ref="F67:F68"/>
    <mergeCell ref="A34:B34"/>
    <mergeCell ref="F43:H43"/>
    <mergeCell ref="C60:H60"/>
    <mergeCell ref="A82:B82"/>
    <mergeCell ref="A63:B63"/>
    <mergeCell ref="A73:B73"/>
    <mergeCell ref="A80:B80"/>
    <mergeCell ref="A77:B77"/>
    <mergeCell ref="A75:B75"/>
    <mergeCell ref="A76:B76"/>
    <mergeCell ref="A65:B65"/>
    <mergeCell ref="A66:B66"/>
    <mergeCell ref="A71:B71"/>
    <mergeCell ref="A69:B70"/>
    <mergeCell ref="A78:B78"/>
    <mergeCell ref="A79:B79"/>
    <mergeCell ref="A1:B1"/>
    <mergeCell ref="A2:B2"/>
    <mergeCell ref="A6:B6"/>
    <mergeCell ref="A7:B7"/>
    <mergeCell ref="A8:B8"/>
    <mergeCell ref="A3:B3"/>
    <mergeCell ref="A4:B4"/>
    <mergeCell ref="A5:B5"/>
    <mergeCell ref="A9:B9"/>
    <mergeCell ref="A10:B10"/>
    <mergeCell ref="A11:B11"/>
    <mergeCell ref="A45:B45"/>
    <mergeCell ref="A60:B60"/>
    <mergeCell ref="A20:B20"/>
    <mergeCell ref="A21:B21"/>
    <mergeCell ref="A35:B35"/>
    <mergeCell ref="A37:B37"/>
    <mergeCell ref="A40:B40"/>
    <mergeCell ref="A24:B24"/>
    <mergeCell ref="A25:B25"/>
    <mergeCell ref="A28:B28"/>
    <mergeCell ref="A29:B29"/>
    <mergeCell ref="A30:B30"/>
    <mergeCell ref="A33:B33"/>
    <mergeCell ref="A12:B12"/>
    <mergeCell ref="A13:B13"/>
    <mergeCell ref="A14:B14"/>
    <mergeCell ref="A15:B15"/>
    <mergeCell ref="A72:B72"/>
    <mergeCell ref="A38:B38"/>
    <mergeCell ref="A41:B41"/>
    <mergeCell ref="A42:B42"/>
    <mergeCell ref="A43:B43"/>
    <mergeCell ref="A67:B68"/>
    <mergeCell ref="A61:B61"/>
    <mergeCell ref="A62:B62"/>
    <mergeCell ref="A47:B47"/>
    <mergeCell ref="A50:B50"/>
    <mergeCell ref="A51:B51"/>
    <mergeCell ref="A48:B48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3"/>
  <sheetViews>
    <sheetView topLeftCell="A68" workbookViewId="0">
      <selection activeCell="E83" sqref="E83"/>
    </sheetView>
  </sheetViews>
  <sheetFormatPr baseColWidth="10" defaultRowHeight="15" x14ac:dyDescent="0"/>
  <cols>
    <col min="2" max="2" width="51" customWidth="1"/>
    <col min="3" max="3" width="12.5" customWidth="1"/>
    <col min="4" max="4" width="19.83203125" customWidth="1"/>
    <col min="5" max="5" width="20.5" customWidth="1"/>
    <col min="6" max="8" width="29.33203125" customWidth="1"/>
  </cols>
  <sheetData>
    <row r="1" spans="1:7" ht="23" customHeight="1">
      <c r="A1" s="177" t="s">
        <v>45</v>
      </c>
      <c r="B1" s="178"/>
      <c r="C1" s="178"/>
      <c r="D1" s="178"/>
      <c r="E1" s="178"/>
      <c r="F1" s="178"/>
    </row>
    <row r="2" spans="1:7" ht="16">
      <c r="A2" s="116" t="s">
        <v>98</v>
      </c>
      <c r="B2" s="116"/>
      <c r="C2" s="72" t="s">
        <v>3</v>
      </c>
      <c r="D2" s="72" t="s">
        <v>67</v>
      </c>
      <c r="E2" s="71" t="s">
        <v>66</v>
      </c>
      <c r="F2" s="55" t="s">
        <v>71</v>
      </c>
    </row>
    <row r="3" spans="1:7" ht="16">
      <c r="A3" s="120" t="s">
        <v>99</v>
      </c>
      <c r="B3" s="120"/>
      <c r="C3" s="54">
        <v>1</v>
      </c>
      <c r="D3" s="56">
        <v>4856.46</v>
      </c>
      <c r="E3" s="56">
        <f t="shared" ref="E3" si="0">C3*D3</f>
        <v>4856.46</v>
      </c>
      <c r="F3" s="54" t="s">
        <v>84</v>
      </c>
    </row>
    <row r="4" spans="1:7" ht="16">
      <c r="A4" s="123" t="s">
        <v>91</v>
      </c>
      <c r="B4" s="124"/>
      <c r="C4" s="54">
        <v>1</v>
      </c>
      <c r="D4" s="61">
        <v>31158</v>
      </c>
      <c r="E4" s="56">
        <f>C4*D4</f>
        <v>31158</v>
      </c>
      <c r="F4" s="54" t="s">
        <v>100</v>
      </c>
    </row>
    <row r="5" spans="1:7" ht="16">
      <c r="A5" s="123" t="s">
        <v>148</v>
      </c>
      <c r="B5" s="124"/>
      <c r="C5" s="54">
        <v>1</v>
      </c>
      <c r="D5" s="56">
        <v>6023.15</v>
      </c>
      <c r="E5" s="78">
        <f t="shared" ref="E5" si="1">C5*D5</f>
        <v>6023.15</v>
      </c>
      <c r="F5" s="81" t="s">
        <v>149</v>
      </c>
    </row>
    <row r="6" spans="1:7" ht="16">
      <c r="A6" s="120" t="s">
        <v>185</v>
      </c>
      <c r="B6" s="120"/>
      <c r="C6" s="54">
        <v>4</v>
      </c>
      <c r="D6" s="61">
        <v>269.27999999999997</v>
      </c>
      <c r="E6" s="56">
        <f>C6*D6</f>
        <v>1077.1199999999999</v>
      </c>
      <c r="F6" s="54" t="s">
        <v>150</v>
      </c>
    </row>
    <row r="7" spans="1:7" ht="16">
      <c r="A7" s="123" t="s">
        <v>162</v>
      </c>
      <c r="B7" s="124"/>
      <c r="C7" s="54">
        <v>2</v>
      </c>
      <c r="D7" s="61">
        <v>200</v>
      </c>
      <c r="E7" s="56">
        <f>C7*D7</f>
        <v>400</v>
      </c>
      <c r="F7" s="54"/>
    </row>
    <row r="8" spans="1:7" ht="16">
      <c r="A8" s="120" t="s">
        <v>163</v>
      </c>
      <c r="B8" s="120"/>
      <c r="C8" s="54">
        <v>2</v>
      </c>
      <c r="D8" s="61">
        <v>200</v>
      </c>
      <c r="E8" s="56">
        <f>C8*D8</f>
        <v>400</v>
      </c>
      <c r="F8" s="54"/>
    </row>
    <row r="9" spans="1:7" ht="16">
      <c r="A9" s="120" t="s">
        <v>166</v>
      </c>
      <c r="B9" s="120"/>
      <c r="C9" s="54">
        <v>2</v>
      </c>
      <c r="D9" s="61">
        <v>200</v>
      </c>
      <c r="E9" s="56">
        <f>C9*D9</f>
        <v>400</v>
      </c>
      <c r="F9" s="54"/>
    </row>
    <row r="10" spans="1:7" ht="16">
      <c r="A10" s="120" t="s">
        <v>164</v>
      </c>
      <c r="B10" s="120"/>
      <c r="C10" s="54">
        <v>2</v>
      </c>
      <c r="D10" s="61">
        <v>200</v>
      </c>
      <c r="E10" s="56">
        <f>C10*D10</f>
        <v>400</v>
      </c>
      <c r="F10" s="54"/>
    </row>
    <row r="11" spans="1:7" ht="16">
      <c r="A11" s="114"/>
      <c r="B11" s="115"/>
      <c r="C11" s="17"/>
      <c r="D11" s="17"/>
      <c r="E11" s="75">
        <f>SUM(E3:E10)</f>
        <v>44714.73</v>
      </c>
      <c r="F11" s="12"/>
      <c r="G11" s="63">
        <f>45000-E11</f>
        <v>285.2699999999968</v>
      </c>
    </row>
    <row r="12" spans="1:7">
      <c r="A12" s="179"/>
      <c r="B12" s="179"/>
      <c r="C12" s="179"/>
      <c r="D12" s="179"/>
      <c r="E12" s="179"/>
      <c r="F12" s="179"/>
    </row>
    <row r="13" spans="1:7" ht="17">
      <c r="A13" s="177" t="s">
        <v>44</v>
      </c>
      <c r="B13" s="178"/>
      <c r="C13" s="178"/>
      <c r="D13" s="178"/>
      <c r="E13" s="178"/>
      <c r="F13" s="178"/>
    </row>
    <row r="14" spans="1:7" ht="16">
      <c r="A14" s="116" t="s">
        <v>98</v>
      </c>
      <c r="B14" s="116"/>
      <c r="C14" s="74" t="s">
        <v>3</v>
      </c>
      <c r="D14" s="74" t="s">
        <v>67</v>
      </c>
      <c r="E14" s="73" t="s">
        <v>66</v>
      </c>
      <c r="F14" s="55" t="s">
        <v>71</v>
      </c>
    </row>
    <row r="15" spans="1:7" ht="16">
      <c r="A15" s="123" t="s">
        <v>101</v>
      </c>
      <c r="B15" s="124"/>
      <c r="C15" s="54">
        <v>1</v>
      </c>
      <c r="D15" s="78">
        <v>1824.17</v>
      </c>
      <c r="E15" s="56">
        <f t="shared" ref="E15:E24" si="2">C15*D15</f>
        <v>1824.17</v>
      </c>
      <c r="F15" s="54" t="s">
        <v>83</v>
      </c>
      <c r="G15" t="s">
        <v>169</v>
      </c>
    </row>
    <row r="16" spans="1:7" ht="16">
      <c r="A16" s="123" t="s">
        <v>102</v>
      </c>
      <c r="B16" s="124"/>
      <c r="C16" s="54">
        <v>1</v>
      </c>
      <c r="D16" s="78">
        <v>1011.28</v>
      </c>
      <c r="E16" s="56">
        <f t="shared" si="2"/>
        <v>1011.28</v>
      </c>
      <c r="F16" s="54" t="s">
        <v>82</v>
      </c>
      <c r="G16" t="s">
        <v>169</v>
      </c>
    </row>
    <row r="17" spans="1:7" ht="16">
      <c r="A17" s="123" t="s">
        <v>103</v>
      </c>
      <c r="B17" s="124"/>
      <c r="C17" s="54">
        <v>1</v>
      </c>
      <c r="D17" s="78">
        <f>919.38+73.83+100</f>
        <v>1093.21</v>
      </c>
      <c r="E17" s="56">
        <f t="shared" si="2"/>
        <v>1093.21</v>
      </c>
      <c r="F17" s="54" t="s">
        <v>82</v>
      </c>
      <c r="G17" t="s">
        <v>169</v>
      </c>
    </row>
    <row r="18" spans="1:7" ht="16">
      <c r="A18" s="120" t="s">
        <v>104</v>
      </c>
      <c r="B18" s="120"/>
      <c r="C18" s="54">
        <v>1</v>
      </c>
      <c r="D18" s="78">
        <v>1730.33</v>
      </c>
      <c r="E18" s="56">
        <f t="shared" si="2"/>
        <v>1730.33</v>
      </c>
      <c r="F18" s="54" t="s">
        <v>82</v>
      </c>
      <c r="G18" t="s">
        <v>169</v>
      </c>
    </row>
    <row r="19" spans="1:7" ht="16">
      <c r="A19" s="120" t="s">
        <v>105</v>
      </c>
      <c r="B19" s="120"/>
      <c r="C19" s="54">
        <v>1</v>
      </c>
      <c r="D19" s="78">
        <f>660.84+768.36</f>
        <v>1429.2</v>
      </c>
      <c r="E19" s="56">
        <f t="shared" si="2"/>
        <v>1429.2</v>
      </c>
      <c r="F19" s="54" t="s">
        <v>89</v>
      </c>
      <c r="G19" t="s">
        <v>169</v>
      </c>
    </row>
    <row r="20" spans="1:7" ht="16">
      <c r="A20" s="120" t="s">
        <v>106</v>
      </c>
      <c r="B20" s="120"/>
      <c r="C20" s="54">
        <v>1</v>
      </c>
      <c r="D20" s="78">
        <v>959.88</v>
      </c>
      <c r="E20" s="56">
        <f t="shared" si="2"/>
        <v>959.88</v>
      </c>
      <c r="F20" s="54" t="s">
        <v>88</v>
      </c>
      <c r="G20" t="s">
        <v>169</v>
      </c>
    </row>
    <row r="21" spans="1:7" ht="16">
      <c r="A21" s="123" t="s">
        <v>107</v>
      </c>
      <c r="B21" s="124"/>
      <c r="C21" s="54">
        <v>1</v>
      </c>
      <c r="D21" s="78">
        <v>1842.3</v>
      </c>
      <c r="E21" s="56">
        <f t="shared" si="2"/>
        <v>1842.3</v>
      </c>
      <c r="F21" s="54" t="s">
        <v>82</v>
      </c>
      <c r="G21" t="s">
        <v>169</v>
      </c>
    </row>
    <row r="22" spans="1:7" ht="16">
      <c r="A22" s="123" t="s">
        <v>108</v>
      </c>
      <c r="B22" s="124"/>
      <c r="C22" s="54">
        <v>1</v>
      </c>
      <c r="D22" s="78">
        <v>1320.33</v>
      </c>
      <c r="E22" s="56">
        <f t="shared" si="2"/>
        <v>1320.33</v>
      </c>
      <c r="F22" s="54" t="s">
        <v>82</v>
      </c>
      <c r="G22" t="s">
        <v>169</v>
      </c>
    </row>
    <row r="23" spans="1:7" ht="16">
      <c r="A23" s="123" t="s">
        <v>109</v>
      </c>
      <c r="B23" s="124"/>
      <c r="C23" s="54">
        <v>1</v>
      </c>
      <c r="D23" s="78">
        <v>1113.72</v>
      </c>
      <c r="E23" s="56">
        <f t="shared" si="2"/>
        <v>1113.72</v>
      </c>
      <c r="F23" s="54" t="s">
        <v>82</v>
      </c>
      <c r="G23" t="s">
        <v>169</v>
      </c>
    </row>
    <row r="24" spans="1:7" ht="16">
      <c r="A24" s="123" t="s">
        <v>28</v>
      </c>
      <c r="B24" s="124"/>
      <c r="C24" s="54">
        <v>1</v>
      </c>
      <c r="D24" s="56">
        <v>230</v>
      </c>
      <c r="E24" s="56">
        <f t="shared" si="2"/>
        <v>230</v>
      </c>
      <c r="F24" s="54" t="s">
        <v>75</v>
      </c>
      <c r="G24" t="s">
        <v>169</v>
      </c>
    </row>
    <row r="25" spans="1:7" ht="16">
      <c r="A25" s="123" t="s">
        <v>28</v>
      </c>
      <c r="B25" s="124"/>
      <c r="C25" s="54">
        <v>1</v>
      </c>
      <c r="D25" s="56">
        <v>230</v>
      </c>
      <c r="E25" s="56">
        <f t="shared" ref="E25:E26" si="3">C25*D25</f>
        <v>230</v>
      </c>
      <c r="F25" s="54" t="s">
        <v>93</v>
      </c>
      <c r="G25" t="s">
        <v>169</v>
      </c>
    </row>
    <row r="26" spans="1:7" ht="16">
      <c r="A26" s="123" t="s">
        <v>144</v>
      </c>
      <c r="B26" s="124"/>
      <c r="C26" s="54">
        <v>1</v>
      </c>
      <c r="D26" s="56">
        <v>1942.71</v>
      </c>
      <c r="E26" s="56">
        <f t="shared" si="3"/>
        <v>1942.71</v>
      </c>
      <c r="F26" s="54" t="s">
        <v>145</v>
      </c>
      <c r="G26" t="s">
        <v>169</v>
      </c>
    </row>
    <row r="27" spans="1:7" ht="16">
      <c r="A27" s="180"/>
      <c r="B27" s="181"/>
      <c r="C27" s="54"/>
      <c r="D27" s="56"/>
      <c r="E27" s="56"/>
      <c r="F27" s="54"/>
    </row>
    <row r="28" spans="1:7" ht="16">
      <c r="A28" s="114" t="s">
        <v>12</v>
      </c>
      <c r="B28" s="115"/>
      <c r="C28" s="17"/>
      <c r="D28" s="17"/>
      <c r="E28" s="75">
        <f>SUM(E15:E26)</f>
        <v>14727.129999999997</v>
      </c>
      <c r="F28" s="12"/>
      <c r="G28" s="63">
        <f>15000-E28</f>
        <v>272.87000000000262</v>
      </c>
    </row>
    <row r="29" spans="1:7">
      <c r="A29" s="179"/>
      <c r="B29" s="179"/>
      <c r="C29" s="179"/>
      <c r="D29" s="179"/>
      <c r="E29" s="179"/>
      <c r="F29" s="179"/>
    </row>
    <row r="30" spans="1:7" ht="17">
      <c r="A30" s="177" t="s">
        <v>110</v>
      </c>
      <c r="B30" s="178"/>
      <c r="C30" s="178"/>
      <c r="D30" s="178"/>
      <c r="E30" s="178"/>
      <c r="F30" s="178"/>
    </row>
    <row r="31" spans="1:7" ht="16">
      <c r="A31" s="116" t="s">
        <v>98</v>
      </c>
      <c r="B31" s="116"/>
      <c r="C31" s="74" t="s">
        <v>3</v>
      </c>
      <c r="D31" s="74" t="s">
        <v>67</v>
      </c>
      <c r="E31" s="73" t="s">
        <v>66</v>
      </c>
      <c r="F31" s="55" t="s">
        <v>71</v>
      </c>
    </row>
    <row r="32" spans="1:7" ht="16">
      <c r="A32" s="123" t="s">
        <v>28</v>
      </c>
      <c r="B32" s="124"/>
      <c r="C32" s="54">
        <v>1</v>
      </c>
      <c r="D32" s="56">
        <v>855</v>
      </c>
      <c r="E32" s="56">
        <f t="shared" ref="E32:E47" si="4">C32*D32</f>
        <v>855</v>
      </c>
      <c r="F32" s="54" t="s">
        <v>72</v>
      </c>
      <c r="G32" t="s">
        <v>169</v>
      </c>
    </row>
    <row r="33" spans="1:7" ht="16">
      <c r="A33" s="123" t="s">
        <v>28</v>
      </c>
      <c r="B33" s="124"/>
      <c r="C33" s="54">
        <v>1</v>
      </c>
      <c r="D33" s="56">
        <v>230</v>
      </c>
      <c r="E33" s="56">
        <f t="shared" si="4"/>
        <v>230</v>
      </c>
      <c r="F33" s="54" t="s">
        <v>75</v>
      </c>
      <c r="G33" t="s">
        <v>169</v>
      </c>
    </row>
    <row r="34" spans="1:7" ht="16">
      <c r="A34" s="123" t="s">
        <v>139</v>
      </c>
      <c r="B34" s="124"/>
      <c r="C34" s="54">
        <v>50</v>
      </c>
      <c r="D34" s="56">
        <v>1</v>
      </c>
      <c r="E34" s="56">
        <f t="shared" si="4"/>
        <v>50</v>
      </c>
      <c r="F34" s="186"/>
      <c r="G34" t="s">
        <v>169</v>
      </c>
    </row>
    <row r="35" spans="1:7" ht="16">
      <c r="A35" s="123" t="s">
        <v>139</v>
      </c>
      <c r="B35" s="124"/>
      <c r="C35" s="54">
        <v>300</v>
      </c>
      <c r="D35" s="56">
        <v>1.5</v>
      </c>
      <c r="E35" s="56">
        <f t="shared" si="4"/>
        <v>450</v>
      </c>
      <c r="F35" s="187"/>
    </row>
    <row r="36" spans="1:7" ht="16">
      <c r="A36" s="123" t="s">
        <v>131</v>
      </c>
      <c r="B36" s="124"/>
      <c r="C36" s="54">
        <v>400</v>
      </c>
      <c r="D36" s="56">
        <v>1</v>
      </c>
      <c r="E36" s="56">
        <f t="shared" si="4"/>
        <v>400</v>
      </c>
      <c r="F36" s="54" t="s">
        <v>132</v>
      </c>
      <c r="G36" t="s">
        <v>169</v>
      </c>
    </row>
    <row r="37" spans="1:7" ht="16">
      <c r="A37" s="123" t="s">
        <v>141</v>
      </c>
      <c r="B37" s="124"/>
      <c r="C37" s="54">
        <v>320</v>
      </c>
      <c r="D37" s="56">
        <v>17</v>
      </c>
      <c r="E37" s="56">
        <f t="shared" si="4"/>
        <v>5440</v>
      </c>
      <c r="F37" s="188" t="s">
        <v>118</v>
      </c>
      <c r="G37" t="s">
        <v>169</v>
      </c>
    </row>
    <row r="38" spans="1:7" ht="16">
      <c r="A38" s="123" t="s">
        <v>142</v>
      </c>
      <c r="B38" s="124"/>
      <c r="C38" s="54">
        <v>300</v>
      </c>
      <c r="D38" s="56">
        <v>5</v>
      </c>
      <c r="E38" s="56">
        <f t="shared" si="4"/>
        <v>1500</v>
      </c>
      <c r="F38" s="189"/>
    </row>
    <row r="39" spans="1:7" ht="16" customHeight="1">
      <c r="A39" s="163" t="s">
        <v>37</v>
      </c>
      <c r="B39" s="164"/>
      <c r="C39" s="54">
        <v>270</v>
      </c>
      <c r="D39" s="56">
        <v>12</v>
      </c>
      <c r="E39" s="56">
        <f t="shared" si="4"/>
        <v>3240</v>
      </c>
      <c r="F39" s="188" t="s">
        <v>165</v>
      </c>
      <c r="G39" t="s">
        <v>169</v>
      </c>
    </row>
    <row r="40" spans="1:7" ht="16" customHeight="1">
      <c r="A40" s="167"/>
      <c r="B40" s="168"/>
      <c r="C40" s="54">
        <v>30</v>
      </c>
      <c r="D40" s="56">
        <v>28</v>
      </c>
      <c r="E40" s="56">
        <f t="shared" si="4"/>
        <v>840</v>
      </c>
      <c r="F40" s="189"/>
    </row>
    <row r="41" spans="1:7" ht="16" customHeight="1">
      <c r="A41" s="175" t="s">
        <v>177</v>
      </c>
      <c r="B41" s="176"/>
      <c r="C41" s="54">
        <v>19</v>
      </c>
      <c r="D41" s="56">
        <v>95</v>
      </c>
      <c r="E41" s="56">
        <f t="shared" si="4"/>
        <v>1805</v>
      </c>
      <c r="F41" s="87" t="s">
        <v>178</v>
      </c>
      <c r="G41" t="s">
        <v>169</v>
      </c>
    </row>
    <row r="42" spans="1:7" ht="16" customHeight="1">
      <c r="A42" s="175" t="s">
        <v>179</v>
      </c>
      <c r="B42" s="176"/>
      <c r="C42" s="54">
        <v>120</v>
      </c>
      <c r="D42" s="56">
        <v>19.350000000000001</v>
      </c>
      <c r="E42" s="56">
        <f t="shared" si="4"/>
        <v>2322</v>
      </c>
      <c r="F42" s="87" t="s">
        <v>180</v>
      </c>
      <c r="G42" t="s">
        <v>169</v>
      </c>
    </row>
    <row r="43" spans="1:7" ht="16" customHeight="1">
      <c r="A43" s="175" t="s">
        <v>182</v>
      </c>
      <c r="B43" s="176"/>
      <c r="C43" s="54">
        <v>4</v>
      </c>
      <c r="D43" s="56">
        <v>38</v>
      </c>
      <c r="E43" s="56">
        <f t="shared" si="4"/>
        <v>152</v>
      </c>
      <c r="F43" s="87"/>
      <c r="G43" t="s">
        <v>169</v>
      </c>
    </row>
    <row r="44" spans="1:7" ht="16" customHeight="1">
      <c r="A44" s="175" t="s">
        <v>199</v>
      </c>
      <c r="B44" s="176"/>
      <c r="C44" s="54">
        <v>1</v>
      </c>
      <c r="D44" s="56">
        <v>660</v>
      </c>
      <c r="E44" s="56">
        <f t="shared" si="4"/>
        <v>660</v>
      </c>
      <c r="F44" s="97"/>
      <c r="G44" t="s">
        <v>169</v>
      </c>
    </row>
    <row r="45" spans="1:7" ht="16" customHeight="1">
      <c r="A45" s="175" t="s">
        <v>183</v>
      </c>
      <c r="B45" s="176"/>
      <c r="C45" s="54">
        <v>3</v>
      </c>
      <c r="D45" s="56">
        <v>78.099999999999994</v>
      </c>
      <c r="E45" s="56">
        <f t="shared" si="4"/>
        <v>234.29999999999998</v>
      </c>
      <c r="F45" s="87"/>
      <c r="G45" t="s">
        <v>169</v>
      </c>
    </row>
    <row r="46" spans="1:7" ht="16" customHeight="1">
      <c r="A46" s="175" t="s">
        <v>184</v>
      </c>
      <c r="B46" s="176"/>
      <c r="C46" s="54">
        <v>1</v>
      </c>
      <c r="D46" s="56">
        <v>985.25</v>
      </c>
      <c r="E46" s="56">
        <f t="shared" si="4"/>
        <v>985.25</v>
      </c>
      <c r="F46" s="87"/>
      <c r="G46" t="s">
        <v>169</v>
      </c>
    </row>
    <row r="47" spans="1:7" ht="16" customHeight="1">
      <c r="A47" s="175" t="s">
        <v>198</v>
      </c>
      <c r="B47" s="176"/>
      <c r="C47" s="54">
        <v>1</v>
      </c>
      <c r="D47" s="56">
        <v>320</v>
      </c>
      <c r="E47" s="56">
        <f t="shared" si="4"/>
        <v>320</v>
      </c>
      <c r="F47" s="87"/>
      <c r="G47" t="s">
        <v>169</v>
      </c>
    </row>
    <row r="48" spans="1:7" ht="16">
      <c r="A48" s="123" t="s">
        <v>196</v>
      </c>
      <c r="B48" s="124"/>
      <c r="C48" s="54">
        <v>1</v>
      </c>
      <c r="D48" s="56">
        <v>120</v>
      </c>
      <c r="E48" s="56">
        <f t="shared" ref="E48" si="5">C48*D48</f>
        <v>120</v>
      </c>
      <c r="F48" s="79"/>
      <c r="G48" t="s">
        <v>169</v>
      </c>
    </row>
    <row r="49" spans="1:7" ht="16">
      <c r="A49" s="114" t="s">
        <v>12</v>
      </c>
      <c r="B49" s="115"/>
      <c r="C49" s="17"/>
      <c r="D49" s="17"/>
      <c r="E49" s="75">
        <f>SUM(E32:E48)</f>
        <v>19603.55</v>
      </c>
      <c r="F49" s="12"/>
      <c r="G49" s="63">
        <f>19850-E49-47-14</f>
        <v>185.45000000000073</v>
      </c>
    </row>
    <row r="50" spans="1:7">
      <c r="A50" s="179"/>
      <c r="B50" s="179"/>
      <c r="C50" s="179"/>
      <c r="D50" s="179"/>
      <c r="E50" s="179"/>
      <c r="F50" s="179"/>
    </row>
    <row r="51" spans="1:7" ht="17">
      <c r="A51" s="177" t="s">
        <v>111</v>
      </c>
      <c r="B51" s="178"/>
      <c r="C51" s="178"/>
      <c r="D51" s="178"/>
      <c r="E51" s="178"/>
      <c r="F51" s="178"/>
    </row>
    <row r="52" spans="1:7" ht="16">
      <c r="A52" s="116" t="s">
        <v>98</v>
      </c>
      <c r="B52" s="116"/>
      <c r="C52" s="74" t="s">
        <v>3</v>
      </c>
      <c r="D52" s="74" t="s">
        <v>67</v>
      </c>
      <c r="E52" s="73" t="s">
        <v>66</v>
      </c>
      <c r="F52" s="55" t="s">
        <v>71</v>
      </c>
    </row>
    <row r="53" spans="1:7" ht="16">
      <c r="A53" s="123" t="s">
        <v>133</v>
      </c>
      <c r="B53" s="124"/>
      <c r="C53" s="54">
        <v>1</v>
      </c>
      <c r="D53" s="56">
        <v>7000</v>
      </c>
      <c r="E53" s="56">
        <f>C53*D53</f>
        <v>7000</v>
      </c>
      <c r="F53" s="54" t="s">
        <v>115</v>
      </c>
      <c r="G53" t="s">
        <v>169</v>
      </c>
    </row>
    <row r="54" spans="1:7" ht="16">
      <c r="A54" s="123" t="s">
        <v>170</v>
      </c>
      <c r="B54" s="124"/>
      <c r="C54" s="54">
        <v>1</v>
      </c>
      <c r="D54" s="56">
        <v>2994</v>
      </c>
      <c r="E54" s="56">
        <f>C54*D54</f>
        <v>2994</v>
      </c>
      <c r="F54" s="54"/>
      <c r="G54" t="s">
        <v>169</v>
      </c>
    </row>
    <row r="55" spans="1:7" ht="16">
      <c r="A55" s="114" t="s">
        <v>12</v>
      </c>
      <c r="B55" s="115"/>
      <c r="C55" s="17"/>
      <c r="D55" s="17"/>
      <c r="E55" s="75">
        <f>SUM(E53:E54)</f>
        <v>9994</v>
      </c>
      <c r="F55" s="12"/>
    </row>
    <row r="56" spans="1:7">
      <c r="A56" s="179"/>
      <c r="B56" s="179"/>
      <c r="C56" s="179"/>
      <c r="D56" s="179"/>
      <c r="E56" s="179"/>
      <c r="F56" s="179"/>
    </row>
    <row r="57" spans="1:7" ht="17">
      <c r="A57" s="177" t="s">
        <v>112</v>
      </c>
      <c r="B57" s="178"/>
      <c r="C57" s="178"/>
      <c r="D57" s="178"/>
      <c r="E57" s="178"/>
      <c r="F57" s="178"/>
    </row>
    <row r="58" spans="1:7" ht="16">
      <c r="A58" s="116" t="s">
        <v>98</v>
      </c>
      <c r="B58" s="116"/>
      <c r="C58" s="74" t="s">
        <v>3</v>
      </c>
      <c r="D58" s="74" t="s">
        <v>67</v>
      </c>
      <c r="E58" s="73" t="s">
        <v>66</v>
      </c>
      <c r="F58" s="55" t="s">
        <v>71</v>
      </c>
    </row>
    <row r="59" spans="1:7" ht="16">
      <c r="A59" s="123" t="s">
        <v>134</v>
      </c>
      <c r="B59" s="124"/>
      <c r="C59" s="54">
        <v>2</v>
      </c>
      <c r="D59" s="56">
        <v>2098</v>
      </c>
      <c r="E59" s="56">
        <f>C59*D59</f>
        <v>4196</v>
      </c>
      <c r="F59" s="54" t="s">
        <v>121</v>
      </c>
      <c r="G59" t="s">
        <v>169</v>
      </c>
    </row>
    <row r="60" spans="1:7" ht="16">
      <c r="A60" s="139" t="s">
        <v>152</v>
      </c>
      <c r="B60" s="140"/>
      <c r="C60" s="85">
        <v>7</v>
      </c>
      <c r="D60" s="86">
        <f t="shared" ref="D60:D69" si="6">169.32</f>
        <v>169.32</v>
      </c>
      <c r="E60" s="78">
        <f t="shared" ref="E60:E69" si="7">(C60*D60)+((C60*D60)*0.12)</f>
        <v>1327.4688000000001</v>
      </c>
      <c r="F60" s="85" t="s">
        <v>151</v>
      </c>
      <c r="G60" t="s">
        <v>169</v>
      </c>
    </row>
    <row r="61" spans="1:7" ht="16">
      <c r="A61" s="149" t="s">
        <v>153</v>
      </c>
      <c r="B61" s="149"/>
      <c r="C61" s="85">
        <v>4</v>
      </c>
      <c r="D61" s="86">
        <f t="shared" si="6"/>
        <v>169.32</v>
      </c>
      <c r="E61" s="78">
        <f t="shared" si="7"/>
        <v>758.55359999999996</v>
      </c>
      <c r="F61" s="85" t="s">
        <v>151</v>
      </c>
      <c r="G61" t="s">
        <v>169</v>
      </c>
    </row>
    <row r="62" spans="1:7" ht="16">
      <c r="A62" s="149" t="s">
        <v>154</v>
      </c>
      <c r="B62" s="149"/>
      <c r="C62" s="85">
        <v>4</v>
      </c>
      <c r="D62" s="86">
        <f t="shared" si="6"/>
        <v>169.32</v>
      </c>
      <c r="E62" s="78">
        <f t="shared" si="7"/>
        <v>758.55359999999996</v>
      </c>
      <c r="F62" s="85" t="s">
        <v>151</v>
      </c>
      <c r="G62" t="s">
        <v>169</v>
      </c>
    </row>
    <row r="63" spans="1:7" ht="16">
      <c r="A63" s="139" t="s">
        <v>155</v>
      </c>
      <c r="B63" s="140"/>
      <c r="C63" s="85">
        <v>4</v>
      </c>
      <c r="D63" s="86">
        <f t="shared" si="6"/>
        <v>169.32</v>
      </c>
      <c r="E63" s="78">
        <f t="shared" si="7"/>
        <v>758.55359999999996</v>
      </c>
      <c r="F63" s="85" t="s">
        <v>151</v>
      </c>
      <c r="G63" t="s">
        <v>169</v>
      </c>
    </row>
    <row r="64" spans="1:7" ht="16">
      <c r="A64" s="139" t="s">
        <v>156</v>
      </c>
      <c r="B64" s="140"/>
      <c r="C64" s="85">
        <v>4</v>
      </c>
      <c r="D64" s="86">
        <f t="shared" si="6"/>
        <v>169.32</v>
      </c>
      <c r="E64" s="78">
        <f t="shared" si="7"/>
        <v>758.55359999999996</v>
      </c>
      <c r="F64" s="85" t="s">
        <v>151</v>
      </c>
      <c r="G64" t="s">
        <v>169</v>
      </c>
    </row>
    <row r="65" spans="1:7" ht="16">
      <c r="A65" s="139" t="s">
        <v>157</v>
      </c>
      <c r="B65" s="140"/>
      <c r="C65" s="85">
        <v>1</v>
      </c>
      <c r="D65" s="86">
        <f t="shared" si="6"/>
        <v>169.32</v>
      </c>
      <c r="E65" s="78">
        <f t="shared" si="7"/>
        <v>189.63839999999999</v>
      </c>
      <c r="F65" s="85" t="s">
        <v>151</v>
      </c>
      <c r="G65" t="s">
        <v>169</v>
      </c>
    </row>
    <row r="66" spans="1:7" ht="16">
      <c r="A66" s="139" t="s">
        <v>158</v>
      </c>
      <c r="B66" s="140"/>
      <c r="C66" s="85">
        <v>1</v>
      </c>
      <c r="D66" s="86">
        <f t="shared" si="6"/>
        <v>169.32</v>
      </c>
      <c r="E66" s="78">
        <f t="shared" si="7"/>
        <v>189.63839999999999</v>
      </c>
      <c r="F66" s="85" t="s">
        <v>151</v>
      </c>
      <c r="G66" t="s">
        <v>169</v>
      </c>
    </row>
    <row r="67" spans="1:7" ht="16">
      <c r="A67" s="139" t="s">
        <v>159</v>
      </c>
      <c r="B67" s="140"/>
      <c r="C67" s="85">
        <v>2</v>
      </c>
      <c r="D67" s="86">
        <f t="shared" si="6"/>
        <v>169.32</v>
      </c>
      <c r="E67" s="78">
        <f t="shared" si="7"/>
        <v>379.27679999999998</v>
      </c>
      <c r="F67" s="85" t="s">
        <v>151</v>
      </c>
      <c r="G67" t="s">
        <v>169</v>
      </c>
    </row>
    <row r="68" spans="1:7" ht="16">
      <c r="A68" s="139" t="s">
        <v>160</v>
      </c>
      <c r="B68" s="140"/>
      <c r="C68" s="85">
        <v>2</v>
      </c>
      <c r="D68" s="86">
        <f t="shared" si="6"/>
        <v>169.32</v>
      </c>
      <c r="E68" s="78">
        <f t="shared" si="7"/>
        <v>379.27679999999998</v>
      </c>
      <c r="F68" s="85" t="s">
        <v>151</v>
      </c>
      <c r="G68" t="s">
        <v>169</v>
      </c>
    </row>
    <row r="69" spans="1:7" ht="16">
      <c r="A69" s="149" t="s">
        <v>161</v>
      </c>
      <c r="B69" s="149"/>
      <c r="C69" s="85">
        <v>2</v>
      </c>
      <c r="D69" s="86">
        <f t="shared" si="6"/>
        <v>169.32</v>
      </c>
      <c r="E69" s="78">
        <f t="shared" si="7"/>
        <v>379.27679999999998</v>
      </c>
      <c r="F69" s="85" t="s">
        <v>151</v>
      </c>
      <c r="G69" t="s">
        <v>169</v>
      </c>
    </row>
    <row r="70" spans="1:7" ht="16">
      <c r="A70" s="182" t="s">
        <v>167</v>
      </c>
      <c r="B70" s="185"/>
      <c r="C70" s="82">
        <v>1460</v>
      </c>
      <c r="D70" s="83">
        <v>18</v>
      </c>
      <c r="E70" s="84">
        <f t="shared" ref="E70:E79" si="8">C70*D70</f>
        <v>26280</v>
      </c>
      <c r="F70" s="85" t="s">
        <v>120</v>
      </c>
      <c r="G70" t="s">
        <v>169</v>
      </c>
    </row>
    <row r="71" spans="1:7" ht="16">
      <c r="A71" s="184" t="s">
        <v>168</v>
      </c>
      <c r="B71" s="184"/>
      <c r="C71" s="90">
        <v>150</v>
      </c>
      <c r="D71" s="80">
        <v>35</v>
      </c>
      <c r="E71" s="84">
        <f t="shared" si="8"/>
        <v>5250</v>
      </c>
      <c r="F71" s="85" t="s">
        <v>120</v>
      </c>
      <c r="G71" t="s">
        <v>169</v>
      </c>
    </row>
    <row r="72" spans="1:7" ht="16">
      <c r="A72" s="184" t="s">
        <v>172</v>
      </c>
      <c r="B72" s="184"/>
      <c r="C72" s="90">
        <v>50</v>
      </c>
      <c r="D72" s="80">
        <v>80</v>
      </c>
      <c r="E72" s="84">
        <f t="shared" si="8"/>
        <v>4000</v>
      </c>
      <c r="F72" s="85" t="s">
        <v>171</v>
      </c>
      <c r="G72" t="s">
        <v>169</v>
      </c>
    </row>
    <row r="73" spans="1:7" ht="16">
      <c r="A73" s="184" t="s">
        <v>173</v>
      </c>
      <c r="B73" s="184"/>
      <c r="C73" s="90">
        <v>1</v>
      </c>
      <c r="D73" s="80">
        <v>6340</v>
      </c>
      <c r="E73" s="84">
        <f t="shared" si="8"/>
        <v>6340</v>
      </c>
      <c r="F73" s="85" t="s">
        <v>174</v>
      </c>
      <c r="G73" t="s">
        <v>169</v>
      </c>
    </row>
    <row r="74" spans="1:7" ht="16">
      <c r="A74" s="184" t="s">
        <v>186</v>
      </c>
      <c r="B74" s="184"/>
      <c r="C74" s="90">
        <v>1</v>
      </c>
      <c r="D74" s="94">
        <v>4544.09</v>
      </c>
      <c r="E74" s="84">
        <f t="shared" si="8"/>
        <v>4544.09</v>
      </c>
      <c r="F74" s="85" t="s">
        <v>189</v>
      </c>
    </row>
    <row r="75" spans="1:7" ht="16">
      <c r="A75" s="149" t="s">
        <v>187</v>
      </c>
      <c r="B75" s="149"/>
      <c r="C75" s="90">
        <v>6</v>
      </c>
      <c r="D75" s="80">
        <v>235.85</v>
      </c>
      <c r="E75" s="84">
        <f t="shared" si="8"/>
        <v>1415.1</v>
      </c>
      <c r="F75" s="85" t="s">
        <v>150</v>
      </c>
      <c r="G75" s="98"/>
    </row>
    <row r="76" spans="1:7" s="89" customFormat="1" ht="16">
      <c r="A76" s="184" t="s">
        <v>188</v>
      </c>
      <c r="B76" s="184"/>
      <c r="C76" s="91">
        <v>7</v>
      </c>
      <c r="D76" s="80">
        <v>235.86</v>
      </c>
      <c r="E76" s="84">
        <f t="shared" si="8"/>
        <v>1651.02</v>
      </c>
      <c r="F76" s="85" t="s">
        <v>150</v>
      </c>
      <c r="G76" s="88"/>
    </row>
    <row r="77" spans="1:7" ht="16">
      <c r="A77" s="184" t="s">
        <v>175</v>
      </c>
      <c r="B77" s="184"/>
      <c r="C77" s="90">
        <v>1</v>
      </c>
      <c r="D77" s="80">
        <v>2700</v>
      </c>
      <c r="E77" s="84">
        <f t="shared" si="8"/>
        <v>2700</v>
      </c>
      <c r="F77" s="85" t="s">
        <v>176</v>
      </c>
      <c r="G77" t="s">
        <v>169</v>
      </c>
    </row>
    <row r="78" spans="1:7" ht="16">
      <c r="A78" s="182" t="s">
        <v>200</v>
      </c>
      <c r="B78" s="183"/>
      <c r="C78" s="90">
        <v>1</v>
      </c>
      <c r="D78" s="80">
        <v>640</v>
      </c>
      <c r="E78" s="84">
        <f t="shared" si="8"/>
        <v>640</v>
      </c>
      <c r="F78" s="85" t="s">
        <v>174</v>
      </c>
    </row>
    <row r="79" spans="1:7" ht="16" customHeight="1">
      <c r="A79" t="s">
        <v>201</v>
      </c>
      <c r="B79" s="100"/>
      <c r="C79" s="54">
        <v>1</v>
      </c>
      <c r="D79" s="56">
        <v>10433.879999999999</v>
      </c>
      <c r="E79" s="78">
        <f t="shared" si="8"/>
        <v>10433.879999999999</v>
      </c>
      <c r="F79" s="54" t="s">
        <v>82</v>
      </c>
    </row>
    <row r="80" spans="1:7" ht="16">
      <c r="A80" s="175" t="s">
        <v>181</v>
      </c>
      <c r="B80" s="176"/>
      <c r="C80" s="54">
        <v>300</v>
      </c>
      <c r="D80" s="56">
        <v>4.3</v>
      </c>
      <c r="E80" s="56">
        <f>C80*D80</f>
        <v>1290</v>
      </c>
      <c r="F80" s="97" t="s">
        <v>180</v>
      </c>
    </row>
    <row r="81" spans="1:6" ht="16">
      <c r="A81" s="114" t="s">
        <v>12</v>
      </c>
      <c r="B81" s="115"/>
      <c r="C81" s="17"/>
      <c r="D81" s="17"/>
      <c r="E81" s="75">
        <f>SUM(E59:E80)</f>
        <v>74618.880399999995</v>
      </c>
      <c r="F81" s="12"/>
    </row>
    <row r="83" spans="1:6">
      <c r="E83" s="63">
        <f>E11+E28+E49+E55+E81</f>
        <v>163658.2904</v>
      </c>
    </row>
    <row r="85" spans="1:6">
      <c r="E85" s="63">
        <f>Receitas!D11-E83</f>
        <v>77689.709600000002</v>
      </c>
      <c r="F85" s="63">
        <f>E85*0.15</f>
        <v>11653.45644</v>
      </c>
    </row>
    <row r="87" spans="1:6">
      <c r="E87" s="63"/>
    </row>
    <row r="89" spans="1:6" ht="16">
      <c r="A89" s="99" t="s">
        <v>122</v>
      </c>
    </row>
    <row r="90" spans="1:6" ht="16">
      <c r="A90" s="99" t="s">
        <v>123</v>
      </c>
    </row>
    <row r="91" spans="1:6" ht="16">
      <c r="A91" s="99" t="s">
        <v>136</v>
      </c>
    </row>
    <row r="92" spans="1:6" ht="16">
      <c r="A92" s="99" t="s">
        <v>137</v>
      </c>
    </row>
    <row r="93" spans="1:6" ht="16">
      <c r="A93" s="99" t="s">
        <v>135</v>
      </c>
    </row>
  </sheetData>
  <mergeCells count="82">
    <mergeCell ref="F39:F40"/>
    <mergeCell ref="A32:B32"/>
    <mergeCell ref="A53:B53"/>
    <mergeCell ref="A54:B54"/>
    <mergeCell ref="A55:B55"/>
    <mergeCell ref="A37:B37"/>
    <mergeCell ref="A38:B38"/>
    <mergeCell ref="A39:B40"/>
    <mergeCell ref="A41:B41"/>
    <mergeCell ref="A42:B42"/>
    <mergeCell ref="A48:B48"/>
    <mergeCell ref="A81:B81"/>
    <mergeCell ref="A33:B33"/>
    <mergeCell ref="A36:B36"/>
    <mergeCell ref="A49:B49"/>
    <mergeCell ref="A51:F51"/>
    <mergeCell ref="A52:B52"/>
    <mergeCell ref="A57:F57"/>
    <mergeCell ref="A58:B58"/>
    <mergeCell ref="A59:B59"/>
    <mergeCell ref="A71:B71"/>
    <mergeCell ref="A35:B35"/>
    <mergeCell ref="A34:B34"/>
    <mergeCell ref="F34:F35"/>
    <mergeCell ref="F37:F38"/>
    <mergeCell ref="A60:B60"/>
    <mergeCell ref="A75:B75"/>
    <mergeCell ref="A80:B80"/>
    <mergeCell ref="A43:B43"/>
    <mergeCell ref="A45:B45"/>
    <mergeCell ref="A46:B46"/>
    <mergeCell ref="A47:B47"/>
    <mergeCell ref="A44:B44"/>
    <mergeCell ref="A78:B78"/>
    <mergeCell ref="A69:B69"/>
    <mergeCell ref="A77:B77"/>
    <mergeCell ref="A72:B72"/>
    <mergeCell ref="A73:B73"/>
    <mergeCell ref="A76:B76"/>
    <mergeCell ref="A74:B74"/>
    <mergeCell ref="A50:F50"/>
    <mergeCell ref="A56:F56"/>
    <mergeCell ref="A70:B70"/>
    <mergeCell ref="A30:F30"/>
    <mergeCell ref="A31:B31"/>
    <mergeCell ref="A22:B22"/>
    <mergeCell ref="A23:B23"/>
    <mergeCell ref="A24:B24"/>
    <mergeCell ref="A25:B25"/>
    <mergeCell ref="A26:B26"/>
    <mergeCell ref="A27:B27"/>
    <mergeCell ref="A29:F29"/>
    <mergeCell ref="A6:B6"/>
    <mergeCell ref="A11:B11"/>
    <mergeCell ref="A1:F1"/>
    <mergeCell ref="A13:F13"/>
    <mergeCell ref="A14:B14"/>
    <mergeCell ref="A2:B2"/>
    <mergeCell ref="A3:B3"/>
    <mergeCell ref="A4:B4"/>
    <mergeCell ref="A5:B5"/>
    <mergeCell ref="A7:B7"/>
    <mergeCell ref="A8:B8"/>
    <mergeCell ref="A10:B10"/>
    <mergeCell ref="A9:B9"/>
    <mergeCell ref="A12:F12"/>
    <mergeCell ref="A19:B19"/>
    <mergeCell ref="A28:B28"/>
    <mergeCell ref="A15:B15"/>
    <mergeCell ref="A16:B16"/>
    <mergeCell ref="A17:B17"/>
    <mergeCell ref="A18:B18"/>
    <mergeCell ref="A20:B20"/>
    <mergeCell ref="A21:B21"/>
    <mergeCell ref="A66:B66"/>
    <mergeCell ref="A67:B67"/>
    <mergeCell ref="A68:B68"/>
    <mergeCell ref="A61:B61"/>
    <mergeCell ref="A62:B62"/>
    <mergeCell ref="A63:B63"/>
    <mergeCell ref="A64:B64"/>
    <mergeCell ref="A65:B65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"/>
  <sheetData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Simples</vt:lpstr>
      <vt:lpstr>Completa</vt:lpstr>
      <vt:lpstr>Receitas</vt:lpstr>
      <vt:lpstr>Despesas</vt:lpstr>
      <vt:lpstr>Pagamentos</vt:lpstr>
      <vt:lpstr>Sheet2</vt:lpstr>
    </vt:vector>
  </TitlesOfParts>
  <Company>Universidade Federal do Amazonas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Luzeiro Feitosa</dc:creator>
  <cp:lastModifiedBy>Eduardo Luzeiro Feitosa</cp:lastModifiedBy>
  <dcterms:created xsi:type="dcterms:W3CDTF">2012-11-27T19:12:08Z</dcterms:created>
  <dcterms:modified xsi:type="dcterms:W3CDTF">2014-02-18T00:05:56Z</dcterms:modified>
</cp:coreProperties>
</file>