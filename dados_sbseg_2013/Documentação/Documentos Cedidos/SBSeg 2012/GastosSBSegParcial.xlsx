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206"/>
  <workbookPr autoCompressPictures="0"/>
  <bookViews>
    <workbookView xWindow="0" yWindow="-440" windowWidth="28800" windowHeight="18000"/>
  </bookViews>
  <sheets>
    <sheet name="Planilha1" sheetId="1" r:id="rId1"/>
    <sheet name="Planilha2" sheetId="2" r:id="rId2"/>
    <sheet name="Planilha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52" i="1" l="1"/>
  <c r="B19" i="1"/>
  <c r="B20" i="1"/>
  <c r="D23" i="1"/>
  <c r="B11" i="1"/>
  <c r="C21" i="1"/>
  <c r="C13" i="1"/>
  <c r="D39" i="1"/>
  <c r="D36" i="1"/>
  <c r="C25" i="1"/>
  <c r="B25" i="1"/>
  <c r="D9" i="1"/>
  <c r="C9" i="1"/>
  <c r="D3" i="1"/>
  <c r="C3" i="1"/>
  <c r="B3" i="1"/>
  <c r="C42" i="1"/>
  <c r="B13" i="1"/>
  <c r="D13" i="1"/>
  <c r="D25" i="1"/>
  <c r="B9" i="1"/>
  <c r="B42" i="1"/>
  <c r="D42" i="1"/>
  <c r="D44" i="1"/>
</calcChain>
</file>

<file path=xl/sharedStrings.xml><?xml version="1.0" encoding="utf-8"?>
<sst xmlns="http://schemas.openxmlformats.org/spreadsheetml/2006/main" count="46" uniqueCount="35">
  <si>
    <t>Descrição do gasto</t>
  </si>
  <si>
    <t>CAPES</t>
  </si>
  <si>
    <t>CNPq</t>
  </si>
  <si>
    <t>SBC</t>
  </si>
  <si>
    <t>Transporte/passagens</t>
  </si>
  <si>
    <t>Passagens Coordenadores</t>
  </si>
  <si>
    <t>Transfer, onibus (jantar)</t>
  </si>
  <si>
    <t>Diárias (hospedagem/alimentação)</t>
  </si>
  <si>
    <t>Hotel (Pestana)</t>
  </si>
  <si>
    <t>Infra (locação centro convenções, multimídia, rede)</t>
  </si>
  <si>
    <t>Frete (impressoras Altair/ Aldri)</t>
  </si>
  <si>
    <t>locação de equipamentos (classic)</t>
  </si>
  <si>
    <t>Serviços de terceiros (impressão, editoração, etc)</t>
  </si>
  <si>
    <t>Impressão CDs</t>
  </si>
  <si>
    <t>Gráfica (impressão e editoração)</t>
  </si>
  <si>
    <t>material de escritório (contabilista)</t>
  </si>
  <si>
    <t>Flores (Esal)</t>
  </si>
  <si>
    <t>Banners</t>
  </si>
  <si>
    <t>Bones</t>
  </si>
  <si>
    <t>Camisetas</t>
  </si>
  <si>
    <t>Blocos, canetas, ...</t>
  </si>
  <si>
    <t>Chuscarria (Batel Grill)</t>
  </si>
  <si>
    <t>Jantar diretoria</t>
  </si>
  <si>
    <t>Estorno (Wenke Lee)</t>
  </si>
  <si>
    <t>TOTAIS (fontes)</t>
  </si>
  <si>
    <t>Total Geral</t>
  </si>
  <si>
    <t>Limites de rubrica</t>
  </si>
  <si>
    <t>Musicos</t>
  </si>
  <si>
    <t>Estacionamento</t>
  </si>
  <si>
    <t>Diarias convidados (vieram por conta própria)</t>
  </si>
  <si>
    <t xml:space="preserve">Router Internet </t>
  </si>
  <si>
    <t>Impressora</t>
  </si>
  <si>
    <t xml:space="preserve">WebDesigner </t>
  </si>
  <si>
    <t>Fotógrafo</t>
  </si>
  <si>
    <t>Hotel (Pestana) adiantamento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</si>
</sst>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rgb="FF000000"/>
      <name val="Liberation Sans"/>
    </font>
    <font>
      <b/>
      <i/>
      <sz val="16"/>
      <color rgb="FF000000"/>
      <name val="Liberation Sans"/>
    </font>
    <font>
      <b/>
      <i/>
      <u/>
      <sz val="11"/>
      <color rgb="FF000000"/>
      <name val="Liberation Sans"/>
    </font>
    <font>
      <b/>
      <sz val="11"/>
      <color rgb="FF000000"/>
      <name val="Liberation Sans"/>
    </font>
    <font>
      <sz val="11"/>
      <color rgb="FFFF0000"/>
      <name val="Liberation Sans"/>
    </font>
    <font>
      <b/>
      <sz val="12"/>
      <color rgb="FF000000"/>
      <name val="Liberation Sans"/>
    </font>
    <font>
      <b/>
      <sz val="11"/>
      <color rgb="FFFF0000"/>
      <name val="Liberation Sans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Border="0" applyProtection="0"/>
    <xf numFmtId="0" fontId="2" fillId="0" borderId="0" applyNumberFormat="0" applyBorder="0" applyProtection="0"/>
  </cellStyleXfs>
  <cellXfs count="2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2" borderId="1" xfId="0" applyFont="1" applyFill="1" applyBorder="1"/>
    <xf numFmtId="0" fontId="0" fillId="0" borderId="1" xfId="0" applyBorder="1"/>
    <xf numFmtId="0" fontId="4" fillId="0" borderId="0" xfId="0" applyFont="1"/>
    <xf numFmtId="0" fontId="3" fillId="2" borderId="2" xfId="0" applyFont="1" applyFill="1" applyBorder="1"/>
    <xf numFmtId="0" fontId="0" fillId="0" borderId="1" xfId="0" applyFill="1" applyBorder="1"/>
    <xf numFmtId="0" fontId="3" fillId="0" borderId="1" xfId="0" applyFont="1" applyFill="1" applyBorder="1"/>
    <xf numFmtId="0" fontId="0" fillId="0" borderId="0" xfId="0" applyFill="1"/>
    <xf numFmtId="0" fontId="3" fillId="0" borderId="1" xfId="0" applyFont="1" applyBorder="1"/>
    <xf numFmtId="0" fontId="0" fillId="3" borderId="0" xfId="0" applyFill="1"/>
    <xf numFmtId="0" fontId="3" fillId="3" borderId="0" xfId="0" applyFont="1" applyFill="1"/>
    <xf numFmtId="0" fontId="3" fillId="2" borderId="3" xfId="0" applyFont="1" applyFill="1" applyBorder="1"/>
    <xf numFmtId="0" fontId="3" fillId="2" borderId="4" xfId="0" applyFont="1" applyFill="1" applyBorder="1"/>
    <xf numFmtId="0" fontId="5" fillId="4" borderId="0" xfId="0" applyFont="1" applyFill="1"/>
    <xf numFmtId="0" fontId="0" fillId="4" borderId="0" xfId="0" applyFill="1"/>
    <xf numFmtId="2" fontId="5" fillId="4" borderId="0" xfId="0" applyNumberFormat="1" applyFont="1" applyFill="1"/>
    <xf numFmtId="4" fontId="0" fillId="0" borderId="1" xfId="0" applyNumberFormat="1" applyFill="1" applyBorder="1"/>
    <xf numFmtId="0" fontId="4" fillId="0" borderId="1" xfId="0" applyFont="1" applyFill="1" applyBorder="1"/>
    <xf numFmtId="0" fontId="6" fillId="0" borderId="1" xfId="0" applyFont="1" applyFill="1" applyBorder="1"/>
    <xf numFmtId="0" fontId="4" fillId="0" borderId="0" xfId="0" applyFont="1" applyFill="1"/>
    <xf numFmtId="0" fontId="0" fillId="0" borderId="6" xfId="0" applyFill="1" applyBorder="1"/>
    <xf numFmtId="0" fontId="0" fillId="0" borderId="2" xfId="0" applyFill="1" applyBorder="1"/>
    <xf numFmtId="0" fontId="0" fillId="0" borderId="5" xfId="0" applyFill="1" applyBorder="1"/>
  </cellXfs>
  <cellStyles count="5">
    <cellStyle name="Heading" xfId="1"/>
    <cellStyle name="Heading1" xfId="2"/>
    <cellStyle name="Normal" xfId="0" builtinId="0" customBuiltin="1"/>
    <cellStyle name="Result" xfId="3"/>
    <cellStyle name="Result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abSelected="1" workbookViewId="0">
      <selection activeCell="A26" sqref="A26"/>
    </sheetView>
  </sheetViews>
  <sheetFormatPr baseColWidth="10" defaultColWidth="8.625" defaultRowHeight="15" x14ac:dyDescent="0"/>
  <cols>
    <col min="1" max="1" width="46.75" customWidth="1"/>
    <col min="2" max="2" width="11.125" customWidth="1"/>
    <col min="3" max="3" width="9.625" customWidth="1"/>
    <col min="4" max="4" width="13.75" customWidth="1"/>
    <col min="5" max="1013" width="8.5" customWidth="1"/>
    <col min="1014" max="1014" width="8.7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3" spans="1:4">
      <c r="A3" s="3" t="s">
        <v>4</v>
      </c>
      <c r="B3" s="3">
        <f>SUM(B4:B8)</f>
        <v>8041.28</v>
      </c>
      <c r="C3" s="3">
        <f>SUM(C4:C8)</f>
        <v>0</v>
      </c>
      <c r="D3" s="3">
        <f>SUM(D4:D8)</f>
        <v>0</v>
      </c>
    </row>
    <row r="4" spans="1:4">
      <c r="A4" s="4" t="s">
        <v>5</v>
      </c>
      <c r="B4" s="7">
        <v>6209.28</v>
      </c>
      <c r="C4" s="4"/>
      <c r="D4" s="4"/>
    </row>
    <row r="5" spans="1:4">
      <c r="A5" s="4" t="s">
        <v>6</v>
      </c>
      <c r="B5" s="18">
        <v>1832</v>
      </c>
      <c r="C5" s="4"/>
      <c r="D5" s="4"/>
    </row>
    <row r="6" spans="1:4">
      <c r="A6" s="4"/>
      <c r="B6" s="4"/>
      <c r="C6" s="4"/>
      <c r="D6" s="4"/>
    </row>
    <row r="7" spans="1:4">
      <c r="A7" s="4"/>
      <c r="B7" s="4"/>
      <c r="C7" s="4"/>
      <c r="D7" s="4"/>
    </row>
    <row r="9" spans="1:4">
      <c r="A9" s="3" t="s">
        <v>7</v>
      </c>
      <c r="B9" s="3">
        <f>SUM(B10:B12)</f>
        <v>8640.64</v>
      </c>
      <c r="C9" s="3">
        <f>SUM(C10:C12)</f>
        <v>0</v>
      </c>
      <c r="D9" s="3">
        <f>SUM(D10:D12)</f>
        <v>0</v>
      </c>
    </row>
    <row r="10" spans="1:4" s="9" customFormat="1">
      <c r="A10" s="7" t="s">
        <v>8</v>
      </c>
      <c r="B10" s="7">
        <v>7138</v>
      </c>
      <c r="C10" s="7"/>
      <c r="D10" s="23"/>
    </row>
    <row r="11" spans="1:4" s="9" customFormat="1">
      <c r="A11" s="7" t="s">
        <v>29</v>
      </c>
      <c r="B11" s="7">
        <f>4*187.83 *2</f>
        <v>1502.64</v>
      </c>
      <c r="C11" s="22"/>
      <c r="D11" s="24"/>
    </row>
    <row r="13" spans="1:4">
      <c r="A13" s="6" t="s">
        <v>9</v>
      </c>
      <c r="B13" s="6">
        <f>SUM(B14:B23)</f>
        <v>18000</v>
      </c>
      <c r="C13" s="6">
        <f>SUM(C14:C23)</f>
        <v>11900</v>
      </c>
      <c r="D13" s="6">
        <f>SUM(D14:D23)</f>
        <v>43847.49</v>
      </c>
    </row>
    <row r="14" spans="1:4" s="21" customFormat="1">
      <c r="A14" s="19" t="s">
        <v>30</v>
      </c>
      <c r="B14" s="20"/>
      <c r="C14" s="20"/>
      <c r="D14" s="19">
        <v>1607.5</v>
      </c>
    </row>
    <row r="15" spans="1:4" s="5" customFormat="1">
      <c r="A15" s="19" t="s">
        <v>31</v>
      </c>
      <c r="B15" s="19"/>
      <c r="C15" s="19"/>
      <c r="D15" s="19">
        <v>1236.8499999999999</v>
      </c>
    </row>
    <row r="16" spans="1:4" s="5" customFormat="1">
      <c r="A16" s="19" t="s">
        <v>31</v>
      </c>
      <c r="B16" s="19"/>
      <c r="C16" s="19"/>
      <c r="D16" s="19">
        <v>1236.8499999999999</v>
      </c>
    </row>
    <row r="17" spans="1:4" s="5" customFormat="1">
      <c r="A17" s="19" t="s">
        <v>10</v>
      </c>
      <c r="B17" s="19"/>
      <c r="C17" s="19"/>
      <c r="D17" s="19">
        <v>148.43</v>
      </c>
    </row>
    <row r="18" spans="1:4">
      <c r="A18" s="4" t="s">
        <v>11</v>
      </c>
      <c r="B18" s="4"/>
      <c r="C18" s="7">
        <v>6209.28</v>
      </c>
      <c r="D18" s="4"/>
    </row>
    <row r="19" spans="1:4">
      <c r="A19" s="4" t="s">
        <v>11</v>
      </c>
      <c r="B19" s="7">
        <f>8000-C18</f>
        <v>1790.7200000000003</v>
      </c>
      <c r="C19" s="4"/>
      <c r="D19" s="4"/>
    </row>
    <row r="20" spans="1:4">
      <c r="A20" s="7" t="s">
        <v>8</v>
      </c>
      <c r="B20" s="7">
        <f>(B49-B19) - 1000</f>
        <v>16209.279999999999</v>
      </c>
      <c r="C20" s="4"/>
      <c r="D20" s="4"/>
    </row>
    <row r="21" spans="1:4">
      <c r="A21" s="7" t="s">
        <v>8</v>
      </c>
      <c r="B21" s="4"/>
      <c r="C21" s="7">
        <f>12000-C18 - 100</f>
        <v>5690.72</v>
      </c>
      <c r="D21" s="4"/>
    </row>
    <row r="22" spans="1:4">
      <c r="A22" s="7" t="s">
        <v>34</v>
      </c>
      <c r="B22" s="4"/>
      <c r="C22" s="7"/>
      <c r="D22" s="4">
        <v>30000</v>
      </c>
    </row>
    <row r="23" spans="1:4">
      <c r="A23" s="4" t="s">
        <v>8</v>
      </c>
      <c r="B23" s="10"/>
      <c r="C23" s="10"/>
      <c r="D23" s="8">
        <f>62965.14-(B10+B20) - D22</f>
        <v>9617.86</v>
      </c>
    </row>
    <row r="24" spans="1:4">
      <c r="A24" s="11"/>
      <c r="B24" s="12"/>
      <c r="C24" s="12"/>
      <c r="D24" s="12"/>
    </row>
    <row r="25" spans="1:4">
      <c r="A25" s="13" t="s">
        <v>12</v>
      </c>
      <c r="B25" s="13">
        <f>SUM(B26:B37)</f>
        <v>5196.45</v>
      </c>
      <c r="C25" s="13">
        <f>SUM(C26:C37)</f>
        <v>0</v>
      </c>
      <c r="D25" s="13">
        <f>SUM(D26:D41)</f>
        <v>21697.79</v>
      </c>
    </row>
    <row r="26" spans="1:4">
      <c r="A26" s="4" t="s">
        <v>13</v>
      </c>
      <c r="B26" s="4">
        <v>434</v>
      </c>
      <c r="C26" s="4"/>
      <c r="D26" s="4"/>
    </row>
    <row r="27" spans="1:4">
      <c r="A27" s="4" t="s">
        <v>14</v>
      </c>
      <c r="B27" s="4">
        <v>3600</v>
      </c>
      <c r="C27" s="4"/>
      <c r="D27" s="4"/>
    </row>
    <row r="28" spans="1:4">
      <c r="A28" s="4" t="s">
        <v>15</v>
      </c>
      <c r="B28" s="4">
        <v>742.45</v>
      </c>
      <c r="C28" s="4"/>
      <c r="D28" s="4"/>
    </row>
    <row r="29" spans="1:4">
      <c r="A29" s="4" t="s">
        <v>16</v>
      </c>
      <c r="B29" s="4"/>
      <c r="C29" s="4"/>
      <c r="D29" s="4">
        <v>249</v>
      </c>
    </row>
    <row r="30" spans="1:4">
      <c r="A30" s="4" t="s">
        <v>27</v>
      </c>
      <c r="B30" s="4"/>
      <c r="C30" s="4"/>
      <c r="D30" s="4">
        <v>800</v>
      </c>
    </row>
    <row r="31" spans="1:4">
      <c r="A31" s="4" t="s">
        <v>33</v>
      </c>
      <c r="B31" s="4"/>
      <c r="C31" s="4"/>
      <c r="D31" s="4">
        <v>500</v>
      </c>
    </row>
    <row r="32" spans="1:4">
      <c r="A32" s="4" t="s">
        <v>32</v>
      </c>
      <c r="B32" s="4"/>
      <c r="C32" s="4"/>
      <c r="D32" s="7">
        <v>500</v>
      </c>
    </row>
    <row r="33" spans="1:4">
      <c r="A33" s="4" t="s">
        <v>17</v>
      </c>
      <c r="B33" s="4">
        <v>420</v>
      </c>
      <c r="C33" s="4"/>
      <c r="D33" s="4"/>
    </row>
    <row r="34" spans="1:4">
      <c r="A34" s="4" t="s">
        <v>18</v>
      </c>
      <c r="B34" s="4"/>
      <c r="C34" s="4"/>
      <c r="D34" s="7">
        <v>2800</v>
      </c>
    </row>
    <row r="35" spans="1:4">
      <c r="A35" s="4" t="s">
        <v>19</v>
      </c>
      <c r="B35" s="4"/>
      <c r="C35" s="4"/>
      <c r="D35" s="7">
        <v>4465</v>
      </c>
    </row>
    <row r="36" spans="1:4">
      <c r="A36" s="4" t="s">
        <v>20</v>
      </c>
      <c r="B36" s="4"/>
      <c r="C36" s="4"/>
      <c r="D36" s="7">
        <f>250+200+80+60</f>
        <v>590</v>
      </c>
    </row>
    <row r="37" spans="1:4">
      <c r="A37" s="7" t="s">
        <v>21</v>
      </c>
      <c r="B37" s="4"/>
      <c r="C37" s="4"/>
      <c r="D37" s="7">
        <v>3680.79</v>
      </c>
    </row>
    <row r="38" spans="1:4">
      <c r="A38" s="7" t="s">
        <v>22</v>
      </c>
      <c r="B38" s="4"/>
      <c r="C38" s="4"/>
      <c r="D38" s="7">
        <v>3600</v>
      </c>
    </row>
    <row r="39" spans="1:4">
      <c r="A39" s="7" t="s">
        <v>23</v>
      </c>
      <c r="B39" s="4"/>
      <c r="C39" s="4"/>
      <c r="D39" s="7">
        <f>2000*2.12</f>
        <v>4240</v>
      </c>
    </row>
    <row r="40" spans="1:4">
      <c r="A40" s="7" t="s">
        <v>28</v>
      </c>
      <c r="B40" s="4"/>
      <c r="C40" s="4"/>
      <c r="D40" s="7">
        <v>273</v>
      </c>
    </row>
    <row r="41" spans="1:4">
      <c r="A41" s="4"/>
      <c r="B41" s="4"/>
      <c r="C41" s="4"/>
      <c r="D41" s="4"/>
    </row>
    <row r="42" spans="1:4">
      <c r="A42" s="14" t="s">
        <v>24</v>
      </c>
      <c r="B42" s="14">
        <f>B25+B13+B9+B3</f>
        <v>39878.370000000003</v>
      </c>
      <c r="C42" s="14">
        <f>C25+C13+C9+C3</f>
        <v>11900</v>
      </c>
      <c r="D42" s="14">
        <f>D25+D13+D9+D3</f>
        <v>65545.279999999999</v>
      </c>
    </row>
    <row r="43" spans="1:4">
      <c r="A43" s="12"/>
      <c r="B43" s="12"/>
      <c r="C43" s="12"/>
      <c r="D43" s="12"/>
    </row>
    <row r="44" spans="1:4" ht="16">
      <c r="A44" s="15" t="s">
        <v>25</v>
      </c>
      <c r="B44" s="16"/>
      <c r="C44" s="16"/>
      <c r="D44" s="17">
        <f>B42+C42+D42</f>
        <v>117323.65</v>
      </c>
    </row>
    <row r="46" spans="1:4">
      <c r="A46" s="1" t="s">
        <v>26</v>
      </c>
      <c r="B46" s="2" t="s">
        <v>1</v>
      </c>
      <c r="C46" s="2" t="s">
        <v>2</v>
      </c>
      <c r="D46" s="1"/>
    </row>
    <row r="47" spans="1:4">
      <c r="A47" t="s">
        <v>4</v>
      </c>
      <c r="B47">
        <v>7700</v>
      </c>
      <c r="C47">
        <v>12000</v>
      </c>
    </row>
    <row r="48" spans="1:4">
      <c r="A48" t="s">
        <v>7</v>
      </c>
      <c r="B48">
        <v>7138</v>
      </c>
      <c r="C48" s="5">
        <v>9600</v>
      </c>
    </row>
    <row r="49" spans="1:3">
      <c r="A49" t="s">
        <v>9</v>
      </c>
      <c r="B49">
        <v>19000</v>
      </c>
      <c r="C49" s="5">
        <v>22000</v>
      </c>
    </row>
    <row r="50" spans="1:3">
      <c r="A50" t="s">
        <v>12</v>
      </c>
      <c r="B50">
        <v>6162</v>
      </c>
      <c r="C50" s="5">
        <v>8000</v>
      </c>
    </row>
    <row r="52" spans="1:3">
      <c r="B52">
        <f>SUM(B47:B51)</f>
        <v>40000</v>
      </c>
    </row>
  </sheetData>
  <pageMargins left="0" right="0" top="0.39370078740157505" bottom="0.39370078740157505" header="0" footer="0"/>
  <pageSetup paperSize="9" fitToWidth="0" fitToHeight="0" orientation="portrait"/>
  <headerFooter>
    <oddHeader>&amp;C&amp;A</oddHeader>
    <oddFooter>&amp;CPágina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625" defaultRowHeight="15" x14ac:dyDescent="0"/>
  <cols>
    <col min="1" max="1" width="8.5" customWidth="1"/>
    <col min="2" max="2" width="8.75" customWidth="1"/>
  </cols>
  <sheetData/>
  <pageMargins left="0" right="0" top="0.39370078740157505" bottom="0.39370078740157505" header="0" footer="0"/>
  <headerFooter>
    <oddHeader>&amp;C&amp;A</oddHeader>
    <oddFooter>&amp;CPágina 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625" defaultRowHeight="15" x14ac:dyDescent="0"/>
  <cols>
    <col min="1" max="1" width="8.5" customWidth="1"/>
    <col min="2" max="2" width="8.75" customWidth="1"/>
  </cols>
  <sheetData/>
  <pageMargins left="0" right="0" top="0.39370078740157505" bottom="0.39370078740157505" header="0" footer="0"/>
  <headerFooter>
    <oddHeader>&amp;C&amp;A</oddHeader>
    <oddFooter>&amp;CPágina 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Maziero</dc:creator>
  <cp:lastModifiedBy>Eduardo Luzeiro Feitosa</cp:lastModifiedBy>
  <cp:revision>4</cp:revision>
  <dcterms:created xsi:type="dcterms:W3CDTF">2012-11-15T17:44:42Z</dcterms:created>
  <dcterms:modified xsi:type="dcterms:W3CDTF">2013-05-14T22:05:51Z</dcterms:modified>
</cp:coreProperties>
</file>