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240" yWindow="24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5" i="1" l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5" i="1"/>
  <c r="G55" i="1"/>
  <c r="H53" i="1"/>
  <c r="G53" i="1"/>
  <c r="G52" i="1"/>
  <c r="G51" i="1"/>
  <c r="H47" i="1"/>
  <c r="G47" i="1"/>
  <c r="G46" i="1"/>
  <c r="G45" i="1"/>
  <c r="G44" i="1"/>
  <c r="H40" i="1"/>
  <c r="G40" i="1"/>
  <c r="G38" i="1"/>
  <c r="G37" i="1"/>
  <c r="G36" i="1"/>
  <c r="G35" i="1"/>
  <c r="G34" i="1"/>
  <c r="G33" i="1"/>
  <c r="G32" i="1"/>
  <c r="H28" i="1"/>
  <c r="G28" i="1"/>
  <c r="G27" i="1"/>
  <c r="G26" i="1"/>
  <c r="G25" i="1"/>
  <c r="H24" i="1"/>
  <c r="G24" i="1"/>
  <c r="G23" i="1"/>
  <c r="G22" i="1"/>
  <c r="H21" i="1"/>
  <c r="G21" i="1"/>
  <c r="H17" i="1"/>
  <c r="G17" i="1"/>
  <c r="H16" i="1"/>
  <c r="G16" i="1"/>
  <c r="G15" i="1"/>
  <c r="H14" i="1"/>
  <c r="G14" i="1"/>
  <c r="G13" i="1"/>
  <c r="H12" i="1"/>
  <c r="G12" i="1"/>
  <c r="H8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<sst xmlns="http://schemas.openxmlformats.org/spreadsheetml/2006/main" count="89" uniqueCount="45">
  <si>
    <t>Passagens para palestrantes e/ou conferencistas</t>
  </si>
  <si>
    <t>Item</t>
  </si>
  <si>
    <t>Unid.</t>
  </si>
  <si>
    <t>Quant.</t>
  </si>
  <si>
    <t>vl. Unit.</t>
  </si>
  <si>
    <t>Total</t>
  </si>
  <si>
    <t>Palestrantes Internacionais (Econômica)</t>
  </si>
  <si>
    <t xml:space="preserve">Palestrantes Nacionais </t>
  </si>
  <si>
    <t>Apresentadores de Minicursos</t>
  </si>
  <si>
    <t>Coordenador de Comite de Programa</t>
  </si>
  <si>
    <t>Coordenadores de Workshop/Minicursos</t>
  </si>
  <si>
    <t>SubTotal</t>
  </si>
  <si>
    <t>Diárias para palestrantes e/ou conferencistas</t>
  </si>
  <si>
    <t>Palestrantes Internacionais</t>
  </si>
  <si>
    <t>Palestrantes Nacionais</t>
  </si>
  <si>
    <t>Coordenador do Comite de Programa</t>
  </si>
  <si>
    <t>Coordenadores de Workshop</t>
  </si>
  <si>
    <t>InfraEstrutura</t>
  </si>
  <si>
    <t>Locação do Centro de Eventos (salas)</t>
  </si>
  <si>
    <t>Locação de Projetores Multimidia</t>
  </si>
  <si>
    <t>Locação de Computadores para uso dos participantes</t>
  </si>
  <si>
    <t>Locação de InfraEstrutura de Redes</t>
  </si>
  <si>
    <t>Locação de Equipamentos de Áudio e Sonorização</t>
  </si>
  <si>
    <t>Transfer Hoteis</t>
  </si>
  <si>
    <t>Serviços de Tradução Simultânea</t>
  </si>
  <si>
    <t>Serviços de Impressão/divulgação</t>
  </si>
  <si>
    <t>Edição/Impressão de Programação Final</t>
  </si>
  <si>
    <t>Impressão de Cartazes</t>
  </si>
  <si>
    <t>Impressão de Faixas</t>
  </si>
  <si>
    <t>Impressão Material do MiniCursos</t>
  </si>
  <si>
    <t>Folder de Divulgação do Evento</t>
  </si>
  <si>
    <t>Editoração dos Anais</t>
  </si>
  <si>
    <t>Produção de Mídia</t>
  </si>
  <si>
    <t>Aquisição de Material de Consumo</t>
  </si>
  <si>
    <t>Serviços de Terceiros</t>
  </si>
  <si>
    <t>Confecção de Camisas</t>
  </si>
  <si>
    <t>Confecção de Pastas/bolsas</t>
  </si>
  <si>
    <t>Outros Serviços de Terceiros</t>
  </si>
  <si>
    <t>Coffee-Break/Coquetel</t>
  </si>
  <si>
    <t xml:space="preserve">Total Geral </t>
  </si>
  <si>
    <t>Serviços de Terceiro</t>
  </si>
  <si>
    <t>Total Geral</t>
  </si>
  <si>
    <t>Coffe Break</t>
  </si>
  <si>
    <t>Coquetel de Abertura</t>
  </si>
  <si>
    <t>CNPq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</si>
</sst>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3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theme="0"/>
      <name val="Cambria"/>
      <family val="1"/>
      <scheme val="major"/>
    </font>
    <font>
      <b/>
      <sz val="13"/>
      <color rgb="FFFFFFFF"/>
      <name val="Cambria"/>
      <family val="1"/>
    </font>
    <font>
      <sz val="11"/>
      <color theme="1"/>
      <name val="Cambria"/>
      <family val="1"/>
    </font>
    <font>
      <sz val="13"/>
      <name val="Cambria"/>
      <family val="1"/>
      <scheme val="major"/>
    </font>
    <font>
      <sz val="13"/>
      <color rgb="FF006666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color theme="0"/>
      <name val="Cambria"/>
      <family val="1"/>
      <scheme val="major"/>
    </font>
    <font>
      <sz val="13"/>
      <color rgb="FFC0000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6666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1" applyFont="1"/>
    <xf numFmtId="0" fontId="3" fillId="0" borderId="0" xfId="0" applyFont="1"/>
    <xf numFmtId="2" fontId="3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6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2" fontId="7" fillId="0" borderId="1" xfId="1" applyNumberFormat="1" applyFont="1" applyBorder="1"/>
    <xf numFmtId="2" fontId="8" fillId="0" borderId="1" xfId="0" applyNumberFormat="1" applyFont="1" applyBorder="1" applyAlignment="1">
      <alignment horizontal="right"/>
    </xf>
    <xf numFmtId="2" fontId="4" fillId="2" borderId="1" xfId="0" applyNumberFormat="1" applyFont="1" applyFill="1" applyBorder="1"/>
    <xf numFmtId="0" fontId="9" fillId="0" borderId="0" xfId="0" applyFont="1"/>
    <xf numFmtId="0" fontId="7" fillId="0" borderId="1" xfId="1" applyFont="1" applyBorder="1"/>
    <xf numFmtId="0" fontId="10" fillId="2" borderId="1" xfId="0" applyFont="1" applyFill="1" applyBorder="1"/>
    <xf numFmtId="2" fontId="10" fillId="2" borderId="1" xfId="0" applyNumberFormat="1" applyFont="1" applyFill="1" applyBorder="1"/>
    <xf numFmtId="2" fontId="8" fillId="0" borderId="1" xfId="0" applyNumberFormat="1" applyFont="1" applyBorder="1"/>
    <xf numFmtId="0" fontId="4" fillId="2" borderId="1" xfId="1" applyFont="1" applyFill="1" applyBorder="1"/>
    <xf numFmtId="2" fontId="4" fillId="2" borderId="1" xfId="1" applyNumberFormat="1" applyFont="1" applyFill="1" applyBorder="1"/>
    <xf numFmtId="0" fontId="7" fillId="0" borderId="0" xfId="1" applyFont="1"/>
    <xf numFmtId="2" fontId="7" fillId="0" borderId="0" xfId="1" applyNumberFormat="1" applyFont="1"/>
    <xf numFmtId="2" fontId="11" fillId="0" borderId="0" xfId="0" applyNumberFormat="1" applyFont="1"/>
    <xf numFmtId="0" fontId="4" fillId="2" borderId="0" xfId="1" applyFont="1" applyFill="1"/>
    <xf numFmtId="2" fontId="4" fillId="2" borderId="0" xfId="1" applyNumberFormat="1" applyFont="1" applyFill="1"/>
    <xf numFmtId="0" fontId="2" fillId="0" borderId="0" xfId="1" applyFont="1" applyFill="1"/>
    <xf numFmtId="2" fontId="2" fillId="0" borderId="0" xfId="1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2" fillId="0" borderId="0" xfId="0" applyFont="1"/>
    <xf numFmtId="0" fontId="3" fillId="0" borderId="0" xfId="0" applyFont="1" applyFill="1"/>
    <xf numFmtId="2" fontId="13" fillId="2" borderId="1" xfId="0" applyNumberFormat="1" applyFont="1" applyFill="1" applyBorder="1"/>
    <xf numFmtId="0" fontId="7" fillId="0" borderId="1" xfId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7" fillId="0" borderId="2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4" fillId="2" borderId="1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</cellXfs>
  <cellStyles count="3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5"/>
  <sheetViews>
    <sheetView tabSelected="1" topLeftCell="A3" workbookViewId="0">
      <selection activeCell="I3" sqref="I3"/>
    </sheetView>
  </sheetViews>
  <sheetFormatPr baseColWidth="10" defaultColWidth="8.83203125" defaultRowHeight="15" x14ac:dyDescent="0"/>
  <cols>
    <col min="1" max="1" width="10.6640625" customWidth="1"/>
    <col min="2" max="2" width="28.1640625" customWidth="1"/>
    <col min="3" max="3" width="25.83203125" customWidth="1"/>
    <col min="4" max="4" width="7.5" customWidth="1"/>
    <col min="5" max="5" width="7.83203125" customWidth="1"/>
    <col min="6" max="6" width="11" customWidth="1"/>
    <col min="7" max="7" width="13.83203125" customWidth="1"/>
    <col min="8" max="8" width="14.1640625" customWidth="1"/>
  </cols>
  <sheetData>
    <row r="1" spans="2:8" ht="16">
      <c r="B1" s="1" t="s">
        <v>0</v>
      </c>
      <c r="C1" s="2"/>
      <c r="D1" s="2"/>
      <c r="E1" s="2"/>
      <c r="F1" s="3"/>
      <c r="G1" s="2"/>
      <c r="H1" s="2"/>
    </row>
    <row r="2" spans="2:8" s="8" customFormat="1" ht="16">
      <c r="B2" s="34" t="s">
        <v>1</v>
      </c>
      <c r="C2" s="34"/>
      <c r="D2" s="4" t="s">
        <v>2</v>
      </c>
      <c r="E2" s="5" t="s">
        <v>3</v>
      </c>
      <c r="F2" s="5" t="s">
        <v>4</v>
      </c>
      <c r="G2" s="6" t="s">
        <v>5</v>
      </c>
      <c r="H2" s="7" t="s">
        <v>44</v>
      </c>
    </row>
    <row r="3" spans="2:8" ht="16">
      <c r="B3" s="33" t="s">
        <v>6</v>
      </c>
      <c r="C3" s="33"/>
      <c r="D3" s="9">
        <v>2</v>
      </c>
      <c r="E3" s="9">
        <v>2</v>
      </c>
      <c r="F3" s="10">
        <v>1750</v>
      </c>
      <c r="G3" s="11">
        <f>F3*E3*D3</f>
        <v>7000</v>
      </c>
      <c r="H3" s="12">
        <v>7000</v>
      </c>
    </row>
    <row r="4" spans="2:8" ht="16">
      <c r="B4" s="33" t="s">
        <v>7</v>
      </c>
      <c r="C4" s="33"/>
      <c r="D4" s="9">
        <v>3</v>
      </c>
      <c r="E4" s="9">
        <v>2</v>
      </c>
      <c r="F4" s="10">
        <v>1000</v>
      </c>
      <c r="G4" s="11">
        <f>F4*E4*D4</f>
        <v>6000</v>
      </c>
      <c r="H4" s="12">
        <v>0</v>
      </c>
    </row>
    <row r="5" spans="2:8" ht="16">
      <c r="B5" s="33" t="s">
        <v>8</v>
      </c>
      <c r="C5" s="33"/>
      <c r="D5" s="9">
        <v>4</v>
      </c>
      <c r="E5" s="9">
        <v>2</v>
      </c>
      <c r="F5" s="10">
        <v>1000</v>
      </c>
      <c r="G5" s="11">
        <f>F5*E5*D5</f>
        <v>8000</v>
      </c>
      <c r="H5" s="12">
        <v>8000</v>
      </c>
    </row>
    <row r="6" spans="2:8" ht="16">
      <c r="B6" s="33" t="s">
        <v>9</v>
      </c>
      <c r="C6" s="33"/>
      <c r="D6" s="9">
        <v>2</v>
      </c>
      <c r="E6" s="9">
        <v>2</v>
      </c>
      <c r="F6" s="10">
        <v>1750</v>
      </c>
      <c r="G6" s="11">
        <f>F6*E6*D6</f>
        <v>7000</v>
      </c>
      <c r="H6" s="12">
        <v>0</v>
      </c>
    </row>
    <row r="7" spans="2:8" ht="16">
      <c r="B7" s="33" t="s">
        <v>10</v>
      </c>
      <c r="C7" s="33"/>
      <c r="D7" s="9">
        <v>4</v>
      </c>
      <c r="E7" s="9">
        <v>2</v>
      </c>
      <c r="F7" s="10">
        <v>1000</v>
      </c>
      <c r="G7" s="11">
        <f>F7*E7*D7</f>
        <v>8000</v>
      </c>
      <c r="H7" s="12">
        <v>8000</v>
      </c>
    </row>
    <row r="8" spans="2:8" ht="16">
      <c r="B8" s="37" t="s">
        <v>11</v>
      </c>
      <c r="C8" s="38"/>
      <c r="D8" s="5"/>
      <c r="E8" s="5"/>
      <c r="F8" s="13"/>
      <c r="G8" s="13">
        <f>SUM(G3:G7)</f>
        <v>36000</v>
      </c>
      <c r="H8" s="13">
        <f>SUM(H3:H7)</f>
        <v>23000</v>
      </c>
    </row>
    <row r="9" spans="2:8" ht="16">
      <c r="B9" s="2"/>
      <c r="C9" s="2"/>
      <c r="D9" s="2"/>
      <c r="E9" s="2"/>
      <c r="F9" s="3"/>
      <c r="G9" s="2"/>
      <c r="H9" s="3"/>
    </row>
    <row r="10" spans="2:8" ht="16">
      <c r="B10" s="14" t="s">
        <v>12</v>
      </c>
      <c r="C10" s="2"/>
      <c r="D10" s="2"/>
      <c r="E10" s="2"/>
      <c r="F10" s="3"/>
      <c r="G10" s="2"/>
      <c r="H10" s="3"/>
    </row>
    <row r="11" spans="2:8" s="8" customFormat="1" ht="16">
      <c r="B11" s="34" t="s">
        <v>1</v>
      </c>
      <c r="C11" s="34"/>
      <c r="D11" s="4" t="s">
        <v>2</v>
      </c>
      <c r="E11" s="5" t="s">
        <v>3</v>
      </c>
      <c r="F11" s="5" t="s">
        <v>4</v>
      </c>
      <c r="G11" s="6" t="s">
        <v>5</v>
      </c>
      <c r="H11" s="7" t="s">
        <v>44</v>
      </c>
    </row>
    <row r="12" spans="2:8" ht="16">
      <c r="B12" s="35" t="s">
        <v>13</v>
      </c>
      <c r="C12" s="36"/>
      <c r="D12" s="15">
        <v>2</v>
      </c>
      <c r="E12" s="15">
        <v>8</v>
      </c>
      <c r="F12" s="11">
        <v>187.83</v>
      </c>
      <c r="G12" s="11">
        <f>F12*E12*D12</f>
        <v>3005.28</v>
      </c>
      <c r="H12" s="11">
        <f>G12</f>
        <v>3005.28</v>
      </c>
    </row>
    <row r="13" spans="2:8" ht="16">
      <c r="B13" s="35" t="s">
        <v>14</v>
      </c>
      <c r="C13" s="36"/>
      <c r="D13" s="15">
        <v>3</v>
      </c>
      <c r="E13" s="15">
        <v>8</v>
      </c>
      <c r="F13" s="11">
        <v>187.83</v>
      </c>
      <c r="G13" s="11">
        <f>F13*E13*D13</f>
        <v>4507.92</v>
      </c>
      <c r="H13" s="12">
        <v>0</v>
      </c>
    </row>
    <row r="14" spans="2:8" ht="16">
      <c r="B14" s="35" t="s">
        <v>8</v>
      </c>
      <c r="C14" s="36"/>
      <c r="D14" s="15">
        <v>4</v>
      </c>
      <c r="E14" s="15">
        <v>4</v>
      </c>
      <c r="F14" s="11">
        <v>187.83</v>
      </c>
      <c r="G14" s="11">
        <f>F14*E14*D14</f>
        <v>3005.28</v>
      </c>
      <c r="H14" s="12">
        <f>G14</f>
        <v>3005.28</v>
      </c>
    </row>
    <row r="15" spans="2:8" ht="16">
      <c r="B15" s="35" t="s">
        <v>15</v>
      </c>
      <c r="C15" s="36"/>
      <c r="D15" s="15">
        <v>2</v>
      </c>
      <c r="E15" s="15">
        <v>8</v>
      </c>
      <c r="F15" s="11">
        <v>187.83</v>
      </c>
      <c r="G15" s="11">
        <f>F15*E15*D15</f>
        <v>3005.28</v>
      </c>
      <c r="H15" s="12">
        <v>0</v>
      </c>
    </row>
    <row r="16" spans="2:8" ht="16">
      <c r="B16" s="35" t="s">
        <v>16</v>
      </c>
      <c r="C16" s="36"/>
      <c r="D16" s="15">
        <v>4</v>
      </c>
      <c r="E16" s="15">
        <v>8</v>
      </c>
      <c r="F16" s="11">
        <v>187.83</v>
      </c>
      <c r="G16" s="11">
        <f>F16*E16*D16</f>
        <v>6010.56</v>
      </c>
      <c r="H16" s="12">
        <f>G16</f>
        <v>6010.56</v>
      </c>
    </row>
    <row r="17" spans="2:8" ht="16">
      <c r="B17" s="37" t="s">
        <v>11</v>
      </c>
      <c r="C17" s="38"/>
      <c r="D17" s="16"/>
      <c r="E17" s="16"/>
      <c r="F17" s="17"/>
      <c r="G17" s="13">
        <f>SUM(G12:G16)</f>
        <v>19534.320000000003</v>
      </c>
      <c r="H17" s="13">
        <f>SUM(H12:H16)</f>
        <v>12021.12</v>
      </c>
    </row>
    <row r="18" spans="2:8" ht="16">
      <c r="B18" s="2"/>
      <c r="C18" s="2"/>
      <c r="D18" s="2"/>
      <c r="E18" s="2"/>
      <c r="F18" s="3"/>
      <c r="G18" s="2"/>
      <c r="H18" s="3"/>
    </row>
    <row r="19" spans="2:8" ht="16">
      <c r="B19" s="1" t="s">
        <v>17</v>
      </c>
      <c r="C19" s="2"/>
      <c r="D19" s="2"/>
      <c r="E19" s="2"/>
      <c r="F19" s="3"/>
      <c r="G19" s="2"/>
      <c r="H19" s="3"/>
    </row>
    <row r="20" spans="2:8" s="8" customFormat="1" ht="16">
      <c r="B20" s="34" t="s">
        <v>1</v>
      </c>
      <c r="C20" s="34"/>
      <c r="D20" s="4" t="s">
        <v>2</v>
      </c>
      <c r="E20" s="5" t="s">
        <v>3</v>
      </c>
      <c r="F20" s="5" t="s">
        <v>4</v>
      </c>
      <c r="G20" s="6" t="s">
        <v>5</v>
      </c>
      <c r="H20" s="7" t="s">
        <v>44</v>
      </c>
    </row>
    <row r="21" spans="2:8" ht="16">
      <c r="B21" s="35" t="s">
        <v>18</v>
      </c>
      <c r="C21" s="36"/>
      <c r="D21" s="15">
        <v>4</v>
      </c>
      <c r="E21" s="15">
        <v>4</v>
      </c>
      <c r="F21" s="11">
        <v>2340</v>
      </c>
      <c r="G21" s="11">
        <f>D21*E21*F21</f>
        <v>37440</v>
      </c>
      <c r="H21" s="12">
        <f>G21</f>
        <v>37440</v>
      </c>
    </row>
    <row r="22" spans="2:8" ht="16">
      <c r="B22" s="35" t="s">
        <v>19</v>
      </c>
      <c r="C22" s="36"/>
      <c r="D22" s="15">
        <v>4</v>
      </c>
      <c r="E22" s="15">
        <v>4</v>
      </c>
      <c r="F22" s="11">
        <v>250</v>
      </c>
      <c r="G22" s="11">
        <f t="shared" ref="G22:G27" si="0">F22*E22*D22</f>
        <v>4000</v>
      </c>
      <c r="H22" s="18">
        <v>0</v>
      </c>
    </row>
    <row r="23" spans="2:8" ht="16">
      <c r="B23" s="35" t="s">
        <v>20</v>
      </c>
      <c r="C23" s="36"/>
      <c r="D23" s="15">
        <v>10</v>
      </c>
      <c r="E23" s="15">
        <v>4</v>
      </c>
      <c r="F23" s="11">
        <v>50</v>
      </c>
      <c r="G23" s="11">
        <f t="shared" si="0"/>
        <v>2000</v>
      </c>
      <c r="H23" s="18">
        <v>0</v>
      </c>
    </row>
    <row r="24" spans="2:8" ht="16">
      <c r="B24" s="35" t="s">
        <v>21</v>
      </c>
      <c r="C24" s="36"/>
      <c r="D24" s="15">
        <v>1</v>
      </c>
      <c r="E24" s="15">
        <v>4</v>
      </c>
      <c r="F24" s="11">
        <v>1750</v>
      </c>
      <c r="G24" s="11">
        <f t="shared" si="0"/>
        <v>7000</v>
      </c>
      <c r="H24" s="18">
        <f>G24</f>
        <v>7000</v>
      </c>
    </row>
    <row r="25" spans="2:8" ht="16">
      <c r="B25" s="35" t="s">
        <v>22</v>
      </c>
      <c r="C25" s="36"/>
      <c r="D25" s="15">
        <v>4</v>
      </c>
      <c r="E25" s="15">
        <v>4</v>
      </c>
      <c r="F25" s="11">
        <v>100</v>
      </c>
      <c r="G25" s="11">
        <f t="shared" si="0"/>
        <v>1600</v>
      </c>
      <c r="H25" s="18">
        <v>0</v>
      </c>
    </row>
    <row r="26" spans="2:8" ht="16">
      <c r="B26" s="35" t="s">
        <v>23</v>
      </c>
      <c r="C26" s="36"/>
      <c r="D26" s="15">
        <v>17</v>
      </c>
      <c r="E26" s="15">
        <v>2</v>
      </c>
      <c r="F26" s="11">
        <v>80</v>
      </c>
      <c r="G26" s="11">
        <f t="shared" si="0"/>
        <v>2720</v>
      </c>
      <c r="H26" s="18">
        <v>0</v>
      </c>
    </row>
    <row r="27" spans="2:8" ht="16">
      <c r="B27" s="35" t="s">
        <v>24</v>
      </c>
      <c r="C27" s="36"/>
      <c r="D27" s="15">
        <v>1</v>
      </c>
      <c r="E27" s="15">
        <v>4</v>
      </c>
      <c r="F27" s="11">
        <v>1250</v>
      </c>
      <c r="G27" s="11">
        <f t="shared" si="0"/>
        <v>5000</v>
      </c>
      <c r="H27" s="18">
        <v>0</v>
      </c>
    </row>
    <row r="28" spans="2:8" ht="16">
      <c r="B28" s="37" t="s">
        <v>11</v>
      </c>
      <c r="C28" s="38"/>
      <c r="D28" s="19"/>
      <c r="E28" s="19"/>
      <c r="F28" s="20"/>
      <c r="G28" s="20">
        <f>SUM(G21:G27)</f>
        <v>59760</v>
      </c>
      <c r="H28" s="13">
        <f>SUM(H19:H27)</f>
        <v>44440</v>
      </c>
    </row>
    <row r="29" spans="2:8" ht="16">
      <c r="B29" s="21"/>
      <c r="C29" s="21"/>
      <c r="D29" s="21"/>
      <c r="E29" s="21"/>
      <c r="F29" s="22"/>
      <c r="G29" s="22"/>
      <c r="H29" s="23"/>
    </row>
    <row r="30" spans="2:8" ht="16">
      <c r="B30" s="1" t="s">
        <v>25</v>
      </c>
      <c r="C30" s="21"/>
      <c r="D30" s="21"/>
      <c r="E30" s="21"/>
      <c r="F30" s="22"/>
      <c r="G30" s="22"/>
      <c r="H30" s="23"/>
    </row>
    <row r="31" spans="2:8" s="8" customFormat="1" ht="16">
      <c r="B31" s="34" t="s">
        <v>1</v>
      </c>
      <c r="C31" s="34"/>
      <c r="D31" s="4" t="s">
        <v>2</v>
      </c>
      <c r="E31" s="5" t="s">
        <v>3</v>
      </c>
      <c r="F31" s="5" t="s">
        <v>4</v>
      </c>
      <c r="G31" s="6" t="s">
        <v>5</v>
      </c>
      <c r="H31" s="7" t="s">
        <v>44</v>
      </c>
    </row>
    <row r="32" spans="2:8" ht="16">
      <c r="B32" s="33" t="s">
        <v>26</v>
      </c>
      <c r="C32" s="33"/>
      <c r="D32" s="15">
        <v>1</v>
      </c>
      <c r="E32" s="15">
        <v>400</v>
      </c>
      <c r="F32" s="11">
        <v>2.5</v>
      </c>
      <c r="G32" s="11">
        <f t="shared" ref="G32:G38" si="1">F32*E32*D32</f>
        <v>1000</v>
      </c>
      <c r="H32" s="12">
        <v>1000</v>
      </c>
    </row>
    <row r="33" spans="2:8" ht="16">
      <c r="B33" s="33" t="s">
        <v>27</v>
      </c>
      <c r="C33" s="33"/>
      <c r="D33" s="15">
        <v>1</v>
      </c>
      <c r="E33" s="15">
        <v>400</v>
      </c>
      <c r="F33" s="11">
        <v>5</v>
      </c>
      <c r="G33" s="11">
        <f t="shared" si="1"/>
        <v>2000</v>
      </c>
      <c r="H33" s="12">
        <v>1000</v>
      </c>
    </row>
    <row r="34" spans="2:8" ht="16">
      <c r="B34" s="33" t="s">
        <v>28</v>
      </c>
      <c r="C34" s="33"/>
      <c r="D34" s="15">
        <v>1</v>
      </c>
      <c r="E34" s="15">
        <v>50</v>
      </c>
      <c r="F34" s="11">
        <v>20</v>
      </c>
      <c r="G34" s="11">
        <f t="shared" si="1"/>
        <v>1000</v>
      </c>
      <c r="H34" s="18">
        <v>0</v>
      </c>
    </row>
    <row r="35" spans="2:8" ht="16">
      <c r="B35" s="33" t="s">
        <v>29</v>
      </c>
      <c r="C35" s="33"/>
      <c r="D35" s="15">
        <v>1</v>
      </c>
      <c r="E35" s="15">
        <v>400</v>
      </c>
      <c r="F35" s="11">
        <v>5</v>
      </c>
      <c r="G35" s="11">
        <f t="shared" si="1"/>
        <v>2000</v>
      </c>
      <c r="H35" s="18">
        <v>2000</v>
      </c>
    </row>
    <row r="36" spans="2:8" ht="16">
      <c r="B36" s="39" t="s">
        <v>30</v>
      </c>
      <c r="C36" s="39"/>
      <c r="D36" s="15">
        <v>1</v>
      </c>
      <c r="E36" s="15">
        <v>400</v>
      </c>
      <c r="F36" s="11">
        <v>2.5</v>
      </c>
      <c r="G36" s="11">
        <f t="shared" si="1"/>
        <v>1000</v>
      </c>
      <c r="H36" s="18">
        <v>0</v>
      </c>
    </row>
    <row r="37" spans="2:8" ht="16">
      <c r="B37" s="33" t="s">
        <v>31</v>
      </c>
      <c r="C37" s="33"/>
      <c r="D37" s="15">
        <v>1</v>
      </c>
      <c r="E37" s="15">
        <v>1</v>
      </c>
      <c r="F37" s="11">
        <v>4000</v>
      </c>
      <c r="G37" s="11">
        <f t="shared" si="1"/>
        <v>4000</v>
      </c>
      <c r="H37" s="18">
        <v>4000</v>
      </c>
    </row>
    <row r="38" spans="2:8" ht="16">
      <c r="B38" s="33" t="s">
        <v>32</v>
      </c>
      <c r="C38" s="33"/>
      <c r="D38" s="15">
        <v>1</v>
      </c>
      <c r="E38" s="15">
        <v>400</v>
      </c>
      <c r="F38" s="11">
        <v>5</v>
      </c>
      <c r="G38" s="11">
        <f t="shared" si="1"/>
        <v>2000</v>
      </c>
      <c r="H38" s="18">
        <v>2000</v>
      </c>
    </row>
    <row r="39" spans="2:8" ht="16">
      <c r="B39" s="33" t="s">
        <v>33</v>
      </c>
      <c r="C39" s="33"/>
      <c r="D39" s="15">
        <v>1</v>
      </c>
      <c r="E39" s="15">
        <v>1</v>
      </c>
      <c r="F39" s="11">
        <v>9500</v>
      </c>
      <c r="G39" s="11">
        <v>9500</v>
      </c>
      <c r="H39" s="18">
        <v>0</v>
      </c>
    </row>
    <row r="40" spans="2:8" ht="16">
      <c r="B40" s="41" t="s">
        <v>11</v>
      </c>
      <c r="C40" s="41"/>
      <c r="D40" s="24"/>
      <c r="E40" s="24"/>
      <c r="F40" s="25"/>
      <c r="G40" s="25">
        <f>SUM(G32:G39)</f>
        <v>22500</v>
      </c>
      <c r="H40" s="13">
        <f>SUM(H32:H39)</f>
        <v>10000</v>
      </c>
    </row>
    <row r="41" spans="2:8" ht="16">
      <c r="B41" s="26"/>
      <c r="C41" s="1"/>
      <c r="D41" s="1"/>
      <c r="E41" s="1"/>
      <c r="F41" s="27"/>
      <c r="G41" s="27"/>
      <c r="H41" s="23"/>
    </row>
    <row r="42" spans="2:8" ht="16">
      <c r="B42" s="26" t="s">
        <v>34</v>
      </c>
      <c r="C42" s="1"/>
      <c r="D42" s="1"/>
      <c r="E42" s="1"/>
      <c r="F42" s="27"/>
      <c r="G42" s="27"/>
      <c r="H42" s="23"/>
    </row>
    <row r="43" spans="2:8" ht="16">
      <c r="B43" s="34" t="s">
        <v>1</v>
      </c>
      <c r="C43" s="34"/>
      <c r="D43" s="4" t="s">
        <v>2</v>
      </c>
      <c r="E43" s="5" t="s">
        <v>3</v>
      </c>
      <c r="F43" s="5" t="s">
        <v>4</v>
      </c>
      <c r="G43" s="6" t="s">
        <v>5</v>
      </c>
      <c r="H43" s="7" t="s">
        <v>44</v>
      </c>
    </row>
    <row r="44" spans="2:8" ht="16">
      <c r="B44" s="28" t="s">
        <v>35</v>
      </c>
      <c r="C44" s="29"/>
      <c r="D44" s="9">
        <v>1</v>
      </c>
      <c r="E44" s="15">
        <v>400</v>
      </c>
      <c r="F44" s="10">
        <v>18</v>
      </c>
      <c r="G44" s="10">
        <f>F44*E44*D44</f>
        <v>7200</v>
      </c>
      <c r="H44" s="12">
        <v>0</v>
      </c>
    </row>
    <row r="45" spans="2:8" ht="16">
      <c r="B45" s="42" t="s">
        <v>36</v>
      </c>
      <c r="C45" s="43"/>
      <c r="D45" s="9">
        <v>1</v>
      </c>
      <c r="E45" s="15">
        <v>400</v>
      </c>
      <c r="F45" s="10">
        <v>22.5</v>
      </c>
      <c r="G45" s="10">
        <f>F45*E45*D45</f>
        <v>9000</v>
      </c>
      <c r="H45" s="12">
        <v>0</v>
      </c>
    </row>
    <row r="46" spans="2:8" ht="16">
      <c r="B46" s="42" t="s">
        <v>37</v>
      </c>
      <c r="C46" s="43"/>
      <c r="D46" s="9">
        <v>1</v>
      </c>
      <c r="E46" s="9">
        <v>1</v>
      </c>
      <c r="F46" s="10">
        <v>5000</v>
      </c>
      <c r="G46" s="10">
        <f>F46*E46*D46</f>
        <v>5000</v>
      </c>
      <c r="H46" s="12">
        <v>0</v>
      </c>
    </row>
    <row r="47" spans="2:8" ht="16">
      <c r="B47" s="37" t="s">
        <v>11</v>
      </c>
      <c r="C47" s="38"/>
      <c r="D47" s="19"/>
      <c r="E47" s="19"/>
      <c r="F47" s="20"/>
      <c r="G47" s="20">
        <f>SUM(G44:G46)</f>
        <v>21200</v>
      </c>
      <c r="H47" s="13">
        <f>SUM(H44:H46)</f>
        <v>0</v>
      </c>
    </row>
    <row r="48" spans="2:8" ht="16">
      <c r="B48" s="26"/>
      <c r="C48" s="1"/>
      <c r="D48" s="1"/>
      <c r="E48" s="1"/>
      <c r="F48" s="27"/>
      <c r="G48" s="27"/>
      <c r="H48" s="23"/>
    </row>
    <row r="49" spans="2:11" ht="16">
      <c r="B49" s="1" t="s">
        <v>38</v>
      </c>
      <c r="C49" s="21"/>
      <c r="D49" s="21"/>
      <c r="E49" s="21"/>
      <c r="F49" s="22"/>
      <c r="G49" s="22"/>
      <c r="H49" s="23"/>
    </row>
    <row r="50" spans="2:11" s="8" customFormat="1" ht="16">
      <c r="B50" s="34" t="s">
        <v>1</v>
      </c>
      <c r="C50" s="34"/>
      <c r="D50" s="4" t="s">
        <v>2</v>
      </c>
      <c r="E50" s="5" t="s">
        <v>3</v>
      </c>
      <c r="F50" s="5" t="s">
        <v>4</v>
      </c>
      <c r="G50" s="6" t="s">
        <v>5</v>
      </c>
      <c r="H50" s="7" t="s">
        <v>44</v>
      </c>
    </row>
    <row r="51" spans="2:11" ht="16">
      <c r="B51" s="42" t="s">
        <v>42</v>
      </c>
      <c r="C51" s="43"/>
      <c r="D51" s="9">
        <v>8</v>
      </c>
      <c r="E51" s="9">
        <v>300</v>
      </c>
      <c r="F51" s="10">
        <v>16</v>
      </c>
      <c r="G51" s="10">
        <f>F51*E51*D51</f>
        <v>38400</v>
      </c>
      <c r="H51" s="12">
        <v>0</v>
      </c>
    </row>
    <row r="52" spans="2:11" ht="16">
      <c r="B52" s="42" t="s">
        <v>43</v>
      </c>
      <c r="C52" s="43"/>
      <c r="D52" s="9">
        <v>1</v>
      </c>
      <c r="E52" s="9">
        <v>300</v>
      </c>
      <c r="F52" s="10">
        <v>66</v>
      </c>
      <c r="G52" s="10">
        <f>F52*E52*D52</f>
        <v>19800</v>
      </c>
      <c r="H52" s="12">
        <v>0</v>
      </c>
    </row>
    <row r="53" spans="2:11" ht="16">
      <c r="B53" s="37" t="s">
        <v>11</v>
      </c>
      <c r="C53" s="38"/>
      <c r="D53" s="19"/>
      <c r="E53" s="19"/>
      <c r="F53" s="20"/>
      <c r="G53" s="20">
        <f>SUM(G51:G52)</f>
        <v>58200</v>
      </c>
      <c r="H53" s="13">
        <f>SUM(H51:H52)</f>
        <v>0</v>
      </c>
    </row>
    <row r="54" spans="2:11" ht="16">
      <c r="B54" s="2"/>
      <c r="C54" s="2"/>
      <c r="D54" s="2"/>
      <c r="E54" s="2"/>
      <c r="F54" s="3"/>
      <c r="G54" s="3"/>
      <c r="H54" s="23"/>
    </row>
    <row r="55" spans="2:11" ht="16">
      <c r="B55" s="40" t="s">
        <v>39</v>
      </c>
      <c r="C55" s="40"/>
      <c r="D55" s="40"/>
      <c r="E55" s="40"/>
      <c r="F55" s="40"/>
      <c r="G55" s="20">
        <f>G8+G17+G28+G40+G47+G53</f>
        <v>217194.32</v>
      </c>
      <c r="H55" s="13">
        <f>SUM(H8,H17,H28,H40,H47,H53)</f>
        <v>89461.119999999995</v>
      </c>
    </row>
    <row r="56" spans="2:11">
      <c r="B56" s="30"/>
      <c r="C56" s="30"/>
      <c r="D56" s="30"/>
      <c r="E56" s="30"/>
      <c r="F56" s="30"/>
      <c r="G56" s="30"/>
    </row>
    <row r="58" spans="2:11" ht="16">
      <c r="B58" s="46" t="s">
        <v>1</v>
      </c>
      <c r="C58" s="47"/>
      <c r="D58" s="47"/>
      <c r="E58" s="47"/>
      <c r="F58" s="48"/>
      <c r="G58" s="6" t="s">
        <v>5</v>
      </c>
      <c r="H58" s="7" t="s">
        <v>44</v>
      </c>
    </row>
    <row r="59" spans="2:11" ht="16">
      <c r="B59" s="44" t="s">
        <v>0</v>
      </c>
      <c r="C59" s="44"/>
      <c r="D59" s="44"/>
      <c r="E59" s="44"/>
      <c r="F59" s="44"/>
      <c r="G59" s="10">
        <f>G8</f>
        <v>36000</v>
      </c>
      <c r="H59" s="18">
        <f>H8</f>
        <v>23000</v>
      </c>
    </row>
    <row r="60" spans="2:11" ht="16">
      <c r="B60" s="49" t="s">
        <v>12</v>
      </c>
      <c r="C60" s="49"/>
      <c r="D60" s="49"/>
      <c r="E60" s="49"/>
      <c r="F60" s="49"/>
      <c r="G60" s="10">
        <f>G17</f>
        <v>19534.320000000003</v>
      </c>
      <c r="H60" s="18">
        <f>H17</f>
        <v>12021.12</v>
      </c>
    </row>
    <row r="61" spans="2:11" ht="16">
      <c r="B61" s="44" t="s">
        <v>17</v>
      </c>
      <c r="C61" s="44"/>
      <c r="D61" s="44"/>
      <c r="E61" s="44"/>
      <c r="F61" s="44"/>
      <c r="G61" s="10">
        <f>G28</f>
        <v>59760</v>
      </c>
      <c r="H61" s="18">
        <f>H28</f>
        <v>44440</v>
      </c>
    </row>
    <row r="62" spans="2:11" ht="16">
      <c r="B62" s="44" t="s">
        <v>25</v>
      </c>
      <c r="C62" s="44"/>
      <c r="D62" s="44"/>
      <c r="E62" s="44"/>
      <c r="F62" s="44"/>
      <c r="G62" s="11">
        <f>G40</f>
        <v>22500</v>
      </c>
      <c r="H62" s="18">
        <f>H40</f>
        <v>10000</v>
      </c>
    </row>
    <row r="63" spans="2:11" s="2" customFormat="1" ht="16">
      <c r="B63" s="44" t="s">
        <v>40</v>
      </c>
      <c r="C63" s="44"/>
      <c r="D63" s="44"/>
      <c r="E63" s="44"/>
      <c r="F63" s="44"/>
      <c r="G63" s="11">
        <f>G47</f>
        <v>21200</v>
      </c>
      <c r="H63" s="18">
        <f>H47</f>
        <v>0</v>
      </c>
    </row>
    <row r="64" spans="2:11" s="2" customFormat="1" ht="16">
      <c r="B64" s="44" t="s">
        <v>38</v>
      </c>
      <c r="C64" s="44"/>
      <c r="D64" s="44"/>
      <c r="E64" s="44"/>
      <c r="F64" s="44"/>
      <c r="G64" s="10">
        <f>G53</f>
        <v>58200</v>
      </c>
      <c r="H64" s="18">
        <f>H53</f>
        <v>0</v>
      </c>
      <c r="K64" s="31"/>
    </row>
    <row r="65" spans="2:8" ht="16">
      <c r="B65" s="45" t="s">
        <v>41</v>
      </c>
      <c r="C65" s="45"/>
      <c r="D65" s="45"/>
      <c r="E65" s="45"/>
      <c r="F65" s="45"/>
      <c r="G65" s="32">
        <f>SUM(G59:G64)</f>
        <v>217194.32</v>
      </c>
      <c r="H65" s="32">
        <f>SUM(H59:H64)</f>
        <v>89461.119999999995</v>
      </c>
    </row>
  </sheetData>
  <mergeCells count="50">
    <mergeCell ref="B64:F64"/>
    <mergeCell ref="B65:F65"/>
    <mergeCell ref="B58:F58"/>
    <mergeCell ref="B59:F59"/>
    <mergeCell ref="B60:F60"/>
    <mergeCell ref="B61:F61"/>
    <mergeCell ref="B62:F62"/>
    <mergeCell ref="B63:F63"/>
    <mergeCell ref="B55:F55"/>
    <mergeCell ref="B38:C38"/>
    <mergeCell ref="B39:C39"/>
    <mergeCell ref="B40:C40"/>
    <mergeCell ref="B43:C43"/>
    <mergeCell ref="B45:C45"/>
    <mergeCell ref="B46:C46"/>
    <mergeCell ref="B47:C47"/>
    <mergeCell ref="B50:C50"/>
    <mergeCell ref="B51:C51"/>
    <mergeCell ref="B52:C52"/>
    <mergeCell ref="B53:C53"/>
    <mergeCell ref="B37:C37"/>
    <mergeCell ref="B24:C24"/>
    <mergeCell ref="B25:C25"/>
    <mergeCell ref="B26:C26"/>
    <mergeCell ref="B27:C27"/>
    <mergeCell ref="B28:C28"/>
    <mergeCell ref="B31:C31"/>
    <mergeCell ref="B32:C32"/>
    <mergeCell ref="B33:C33"/>
    <mergeCell ref="B34:C34"/>
    <mergeCell ref="B35:C35"/>
    <mergeCell ref="B36:C36"/>
    <mergeCell ref="B23:C23"/>
    <mergeCell ref="B8:C8"/>
    <mergeCell ref="B11:C11"/>
    <mergeCell ref="B12:C12"/>
    <mergeCell ref="B13:C13"/>
    <mergeCell ref="B14:C14"/>
    <mergeCell ref="B15:C15"/>
    <mergeCell ref="B16:C16"/>
    <mergeCell ref="B17:C17"/>
    <mergeCell ref="B20:C20"/>
    <mergeCell ref="B21:C21"/>
    <mergeCell ref="B22:C22"/>
    <mergeCell ref="B7:C7"/>
    <mergeCell ref="B2:C2"/>
    <mergeCell ref="B3:C3"/>
    <mergeCell ref="B4:C4"/>
    <mergeCell ref="B5:C5"/>
    <mergeCell ref="B6:C6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2012-11-27T19:12:08Z</dcterms:created>
  <dcterms:modified xsi:type="dcterms:W3CDTF">2013-03-28T18:25:43Z</dcterms:modified>
</cp:coreProperties>
</file>